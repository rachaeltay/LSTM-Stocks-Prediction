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Z-Gamer\Desktop\"/>
    </mc:Choice>
  </mc:AlternateContent>
  <bookViews>
    <workbookView xWindow="0" yWindow="0" windowWidth="15528" windowHeight="6648"/>
  </bookViews>
  <sheets>
    <sheet name="Financial Data" sheetId="5" r:id="rId1"/>
    <sheet name="NVDA" sheetId="7" r:id="rId2"/>
    <sheet name="TXN" sheetId="8" r:id="rId3"/>
    <sheet name="INTC" sheetId="9" r:id="rId4"/>
    <sheet name="BABA" sheetId="10" r:id="rId5"/>
    <sheet name="AMD" sheetId="11" r:id="rId6"/>
    <sheet name="AAPL" sheetId="12" r:id="rId7"/>
    <sheet name="AVGO" sheetId="13" r:id="rId8"/>
    <sheet name="Sheet6" sheetId="14" r:id="rId9"/>
    <sheet name="Data Sheet" sheetId="6" r:id="rId10"/>
  </sheets>
  <definedNames>
    <definedName name="avReturn">#REF!</definedName>
    <definedName name="endDate">#REF!</definedName>
    <definedName name="frequency">#REF!</definedName>
    <definedName name="startDate">#REF!</definedName>
    <definedName name="stDev">#REF!</definedName>
    <definedName name="ticker">#REF!</definedName>
    <definedName name="vrnc">#REF!</definedName>
  </definedNames>
  <calcPr calcId="162913"/>
  <fileRecoveryPr autoRecover="0"/>
</workbook>
</file>

<file path=xl/calcChain.xml><?xml version="1.0" encoding="utf-8"?>
<calcChain xmlns="http://schemas.openxmlformats.org/spreadsheetml/2006/main">
  <c r="T3" i="6" l="1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8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8" i="6"/>
  <c r="T229" i="6"/>
  <c r="T230" i="6"/>
  <c r="T231" i="6"/>
  <c r="T232" i="6"/>
  <c r="T233" i="6"/>
  <c r="T234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" i="6"/>
  <c r="N3" i="6" l="1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" i="6"/>
  <c r="K3" i="6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K2" i="6"/>
  <c r="I2" i="6"/>
  <c r="G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" i="6"/>
  <c r="C60" i="5"/>
  <c r="D60" i="5"/>
  <c r="E60" i="5"/>
  <c r="F60" i="5"/>
  <c r="G60" i="5"/>
  <c r="H60" i="5"/>
  <c r="C61" i="5"/>
  <c r="D61" i="5"/>
  <c r="E61" i="5"/>
  <c r="F61" i="5"/>
  <c r="G61" i="5"/>
  <c r="H61" i="5"/>
  <c r="C62" i="5"/>
  <c r="D62" i="5"/>
  <c r="E62" i="5"/>
  <c r="F62" i="5"/>
  <c r="G62" i="5"/>
  <c r="H62" i="5"/>
  <c r="C63" i="5"/>
  <c r="D63" i="5"/>
  <c r="E63" i="5"/>
  <c r="F63" i="5"/>
  <c r="G63" i="5"/>
  <c r="H63" i="5"/>
  <c r="C44" i="5"/>
  <c r="D44" i="5"/>
  <c r="E44" i="5"/>
  <c r="F44" i="5"/>
  <c r="G44" i="5"/>
  <c r="H44" i="5"/>
  <c r="C45" i="5"/>
  <c r="D45" i="5"/>
  <c r="E45" i="5"/>
  <c r="F45" i="5"/>
  <c r="G45" i="5"/>
  <c r="H45" i="5"/>
  <c r="C46" i="5"/>
  <c r="D46" i="5"/>
  <c r="E46" i="5"/>
  <c r="F46" i="5"/>
  <c r="G46" i="5"/>
  <c r="H46" i="5"/>
  <c r="C47" i="5"/>
  <c r="D47" i="5"/>
  <c r="E47" i="5"/>
  <c r="F47" i="5"/>
  <c r="G47" i="5"/>
  <c r="H47" i="5"/>
  <c r="H31" i="5"/>
  <c r="G31" i="5"/>
  <c r="F31" i="5"/>
  <c r="E31" i="5"/>
  <c r="D31" i="5"/>
  <c r="C31" i="5"/>
  <c r="H30" i="5"/>
  <c r="G30" i="5"/>
  <c r="F30" i="5"/>
  <c r="E30" i="5"/>
  <c r="D30" i="5"/>
  <c r="C30" i="5"/>
  <c r="H29" i="5"/>
  <c r="G29" i="5"/>
  <c r="F29" i="5"/>
  <c r="E29" i="5"/>
  <c r="D29" i="5"/>
  <c r="C29" i="5"/>
  <c r="H28" i="5"/>
  <c r="G28" i="5"/>
  <c r="F28" i="5"/>
  <c r="E28" i="5"/>
  <c r="D28" i="5"/>
  <c r="C28" i="5"/>
  <c r="D15" i="5"/>
  <c r="E15" i="5"/>
  <c r="F15" i="5"/>
  <c r="G15" i="5"/>
  <c r="H15" i="5"/>
  <c r="D14" i="5"/>
  <c r="E14" i="5"/>
  <c r="F14" i="5"/>
  <c r="G14" i="5"/>
  <c r="H14" i="5"/>
  <c r="D13" i="5"/>
  <c r="E13" i="5"/>
  <c r="F13" i="5"/>
  <c r="G13" i="5"/>
  <c r="H13" i="5"/>
  <c r="D12" i="5"/>
  <c r="E12" i="5"/>
  <c r="F12" i="5"/>
  <c r="G12" i="5"/>
  <c r="H12" i="5"/>
  <c r="C15" i="5"/>
  <c r="C14" i="5"/>
  <c r="C13" i="5"/>
  <c r="C12" i="5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" name="Connection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3" name="Connection10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" name="Connection11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5" name="Connection1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6" name="Connection1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7" name="Connection14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8" name="Connection15" type="4" refreshedVersion="4" background="1" saveData="1">
    <webPr xl2000="1" url="http://ichart.yahoo.com/table.csv?s=KO&amp;a=0&amp;b=1&amp;c=2009&amp;d=5&amp;e=1&amp;f=2011&amp;g=&amp;q=q&amp;y=0&amp;z=KO&amp;x=.csv" htmlFormat="all"/>
  </connection>
  <connection id="9" name="Connection16" type="4" refreshedVersion="4" background="1" saveData="1">
    <webPr xl2000="1" url="http://ichart.yahoo.com/table.csv?s=KO&amp;a=0&amp;b=1&amp;c=2009&amp;d=5&amp;e=1&amp;f=2011&amp;g=&amp;q=q&amp;y=0&amp;z=KO&amp;x=.csv" htmlFormat="all"/>
  </connection>
  <connection id="10" name="Connection17" type="4" refreshedVersion="4" background="1" saveData="1">
    <webPr xl2000="1" url="http://ichart.yahoo.com/table.csv?s=KO&amp;a=0&amp;b=1&amp;c=2009&amp;d=5&amp;e=1&amp;f=2011&amp;g=&amp;q=q&amp;y=0&amp;z=KO&amp;x=.csv" htmlFormat="all"/>
  </connection>
  <connection id="11" name="Connection18" type="4" refreshedVersion="4" background="1" saveData="1">
    <webPr xl2000="1" url="http://ichart.yahoo.com/table.csv?s=KO&amp;a=0&amp;b=1&amp;c=2011&amp;d=5&amp;e=1&amp;f=2011&amp;g=&amp;q=q&amp;y=0&amp;z=KO&amp;x=.csv" htmlFormat="all"/>
  </connection>
  <connection id="12" name="Connection19" type="4" refreshedVersion="4" background="1" saveData="1">
    <webPr xl2000="1" url="http://ichart.yahoo.com/table.csv?s=KO&amp;a=0&amp;b=1&amp;c=2011&amp;d=5&amp;e=1&amp;f=2011&amp;g=&amp;q=q&amp;y=0&amp;z=KO&amp;x=.csv" htmlFormat="all"/>
  </connection>
  <connection id="13" name="Connection2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14" name="Connection20" type="4" refreshedVersion="4" background="1" saveData="1">
    <webPr xl2000="1" url="http://ichart.yahoo.com/table.csv?s=KO&amp;a=0&amp;b=1&amp;c=2007&amp;d=5&amp;e=1&amp;f=2011&amp;g=&amp;q=q&amp;y=0&amp;z=KO&amp;x=.csv" htmlFormat="all"/>
  </connection>
  <connection id="15" name="Connection21" type="4" refreshedVersion="4" background="1" saveData="1">
    <webPr xl2000="1" url="http://ichart.yahoo.com/table.csv?s=KO&amp;a=0&amp;b=1&amp;c=2009&amp;d=5&amp;e=1&amp;f=2011&amp;g=&amp;q=q&amp;y=0&amp;z=KO&amp;x=.csv" htmlFormat="all"/>
  </connection>
  <connection id="16" name="Connection22" type="4" refreshedVersion="4" background="1" saveData="1">
    <webPr xl2000="1" url="http://ichart.yahoo.com/table.csv?s=KO&amp;a=0&amp;b=1&amp;c=2009&amp;d=5&amp;e=1&amp;f=2011&amp;g=&amp;q=q&amp;y=0&amp;z=KO&amp;x=.csv" htmlFormat="all"/>
  </connection>
  <connection id="17" name="Connection23" type="4" refreshedVersion="4" background="1" saveData="1">
    <webPr xl2000="1" url="http://ichart.yahoo.com/table.csv?s=KO&amp;a=0&amp;b=1&amp;c=2009&amp;d=5&amp;e=1&amp;f=2011&amp;g=&amp;q=q&amp;y=0&amp;z=KO&amp;x=.csv" htmlFormat="all"/>
  </connection>
  <connection id="18" name="Connection24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19" name="Connection25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20" name="Connection26" type="4" refreshedVersion="4" background="1" saveData="1">
    <webPr xl2000="1" url="http://ichart.yahoo.com/table.csv?s=WMT&amp;a=0&amp;b=1&amp;c=2009&amp;d=5&amp;e=1&amp;f=2011&amp;g=&amp;q=q&amp;y=0&amp;z=WMT&amp;x=.csv" htmlFormat="all"/>
  </connection>
  <connection id="21" name="Connection27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2" name="Connection28" type="4" refreshedVersion="4" background="1" saveData="1">
    <webPr xl2000="1" url="http://ichart.yahoo.com/table.csv?s=WMT&amp;a=0&amp;b=1&amp;c=2007&amp;d=5&amp;e=1&amp;f=2011&amp;g=&amp;q=q&amp;y=0&amp;z=WMT&amp;x=.csv" htmlFormat="all"/>
  </connection>
  <connection id="23" name="Connection29" type="4" refreshedVersion="4" background="1" saveData="1">
    <webPr xl2000="1" url="http://ichart.yahoo.com/table.csv?s=BP&amp;a=0&amp;b=1&amp;c=2007&amp;d=5&amp;e=1&amp;f=2011&amp;g=&amp;q=q&amp;y=0&amp;z=BP&amp;x=.csv" htmlFormat="all"/>
  </connection>
  <connection id="24" name="Connection3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25" name="Connection30" type="4" refreshedVersion="4" background="1" saveData="1">
    <webPr xl2000="1" url="http://ichart.yahoo.com/table.csv?s=BP&amp;a=0&amp;b=1&amp;c=2007&amp;d=5&amp;e=1&amp;f=2011&amp;g=&amp;q=q&amp;y=0&amp;z=BP&amp;x=.csv" htmlFormat="all"/>
  </connection>
  <connection id="26" name="Connection31" type="4" refreshedVersion="4" background="1" saveData="1">
    <webPr xl2000="1" url="http://ichart.yahoo.com/table.csv?s=BP&amp;a=0&amp;b=1&amp;c=2011&amp;d=5&amp;e=1&amp;f=2011&amp;g=&amp;q=q&amp;y=0&amp;z=BP&amp;x=.csv" htmlFormat="all"/>
  </connection>
  <connection id="27" name="Connection32" type="4" refreshedVersion="4" background="1" saveData="1">
    <webPr xl2000="1" url="http://ichart.yahoo.com/table.csv?s=BP&amp;a=0&amp;b=1&amp;c=2011&amp;d=5&amp;e=1&amp;f=2011&amp;g=&amp;q=q&amp;y=0&amp;z=BP&amp;x=.csv" htmlFormat="all"/>
  </connection>
  <connection id="28" name="Connection33" type="4" refreshedVersion="4" background="1" saveData="1">
    <webPr xl2000="1" url="http://ichart.yahoo.com/table.csv?s=BP&amp;a=4&amp;b=1&amp;c=2013&amp;d=5&amp;e=1&amp;f=2013&amp;g=&amp;q=q&amp;y=0&amp;z=BP&amp;x=.csv" htmlFormat="all"/>
  </connection>
  <connection id="29" name="Connection34" type="4" refreshedVersion="4" background="1" saveData="1">
    <webPr xl2000="1" url="http://ichart.yahoo.com/table.csv?s=BP&amp;a=4&amp;b=1&amp;c=2013&amp;d=5&amp;e=10&amp;f=2013&amp;g=&amp;q=q&amp;y=0&amp;z=BP&amp;x=.csv" htmlFormat="all"/>
  </connection>
  <connection id="30" name="Connection35" type="4" refreshedVersion="4" background="1" saveData="1">
    <webPr xl2000="1" url="http://ichart.yahoo.com/table.csv?s=BP&amp;a=4&amp;b=1&amp;c=2013&amp;d=5&amp;e=10&amp;f=2013&amp;g=&amp;q=q&amp;y=0&amp;z=BP&amp;x=.csv" htmlFormat="all"/>
  </connection>
  <connection id="31" name="Connection36" type="4" refreshedVersion="4" background="1" saveData="1">
    <webPr xl2000="1" url="http://ichart.yahoo.com/table.csv?s=BP&amp;a=4&amp;b=1&amp;c=2013&amp;d=5&amp;e=10&amp;f=2013&amp;g=&amp;q=q&amp;y=0&amp;z=BP&amp;x=.csv" htmlFormat="all"/>
  </connection>
  <connection id="32" name="Connection37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3" name="Connection38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4" name="Connection39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5" name="Connection4" type="4" refreshedVersion="0" background="1">
    <webPr url="http://ichart.yahoo.com/table.csv?s=&amp;a=11&amp;b=30&amp;c=1899&amp;d=11&amp;e=30&amp;f=1899&amp;g=&amp;q=q&amp;y=0&amp;z=&amp;x=.csv" htmlTables="1" htmlFormat="all"/>
  </connection>
  <connection id="36" name="Connection40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7" name="Connection41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8" name="Connection42" type="4" refreshedVersion="4" background="1" saveData="1">
    <webPr xl2000="1" url="http://ichart.yahoo.com/table.csv?s=BP&amp;a=4&amp;b=1&amp;c=2013&amp;d=5&amp;e=11&amp;f=2013&amp;g=&amp;q=q&amp;y=0&amp;z=BP&amp;x=.csv" htmlFormat="all"/>
  </connection>
  <connection id="39" name="Connection43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0" name="Connection44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1" name="Connection45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2" name="Connection46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3" name="Connection47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4" name="Connection48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5" name="Connection49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6" name="Connection5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47" name="Connection50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8" name="Connection51" type="4" refreshedVersion="4" background="1" saveData="1">
    <webPr xl2000="1" url="http://ichart.yahoo.com/table.csv?s=BP&amp;a=4&amp;b=1&amp;c=2013&amp;d=5&amp;e=11&amp;f=2013&amp;g=&amp;q=q&amp;y=0&amp;z=BP&amp;x=.csv" htmlFormat="all"/>
  </connection>
  <connection id="49" name="Connection52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0" name="Connection53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1" name="Connection54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2" name="Connection55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3" name="Connection56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4" name="Connection57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5" name="Connection58" type="4" refreshedVersion="4" background="1" saveData="1">
    <webPr xl2000="1" url="http://ichart.yahoo.com/table.csv?s=BP&amp;a=4&amp;b=1&amp;c=2013&amp;d=5&amp;e=11&amp;f=2013&amp;g=&amp;q=q&amp;y=0&amp;z=BP&amp;x=.csv" htmlFormat="all"/>
  </connection>
  <connection id="56" name="Connection59" type="4" refreshedVersion="0" background="1">
    <webPr url="http://ichart.yahoo.com/table.csv?s=BP&amp;a=4&amp;b=1&amp;c=2013&amp;d=5&amp;e=11&amp;f=2013&amp;g=&amp;q=q&amp;y=0&amp;z=BP&amp;x=.csv" htmlTables="1" htmlFormat="all"/>
  </connection>
  <connection id="57" name="Connection6" type="4" refreshedVersion="0" background="1">
    <webPr url="http://ichart.yahoo.com/table.csv?s=54.99&amp;a=1&amp;b=23&amp;c=1900&amp;d=1&amp;e=23&amp;f=1900&amp;g=&amp;q=q&amp;y=0&amp;z=54.99&amp;x=.csv" htmlTables="1" htmlFormat="all"/>
  </connection>
  <connection id="58" name="Connection60" type="4" refreshedVersion="4" background="1" saveData="1">
    <webPr xl2000="1" url="http://ichart.finance.yahoo.com/table.csv?s=BP&amp;a=4&amp;b=1&amp;c=2013&amp;d=5&amp;e=11&amp;f=2013&amp;g=&amp;q=q&amp;y=0&amp;z=BP&amp;x=.csv" htmlFormat="all"/>
  </connection>
  <connection id="59" name="Connection61" type="4" refreshedVersion="4" background="1" saveData="1">
    <webPr xl2000="1" url="http://ichart.finance.yahoo.com/table.csv?s=XOM&amp;a=4&amp;b=1&amp;c=2013&amp;d=5&amp;e=11&amp;f=2013&amp;g=&amp;q=q&amp;y=0&amp;z=XOM&amp;x=.csv" htmlFormat="all"/>
  </connection>
  <connection id="60" name="Connection62" type="4" refreshedVersion="4" background="1" saveData="1">
    <webPr xl2000="1" url="http://ichart.finance.yahoo.com/table.csv?s=XOM&amp;a=4&amp;b=1&amp;c=2013&amp;d=0&amp;e=1&amp;f=2014&amp;g=&amp;q=q&amp;y=0&amp;z=XOM&amp;x=.csv" htmlFormat="all"/>
  </connection>
  <connection id="61" name="Connection63" type="4" refreshedVersion="4" background="1" saveData="1">
    <webPr xl2000="1" url="http://ichart.finance.yahoo.com/table.csv?s=XOM&amp;a=4&amp;b=1&amp;c=2013&amp;d=11&amp;e=12&amp;f=2013&amp;g=&amp;q=q&amp;y=0&amp;z=XOM&amp;x=.csv" htmlFormat="all"/>
  </connection>
  <connection id="62" name="Connection64" type="4" refreshedVersion="0" background="1">
    <webPr url="http://ichart.finance.yahoo.com/table.csv?s=XOM&amp;a=4&amp;b=1&amp;c=2013&amp;d=11&amp;e=12&amp;f=2013&amp;g=&amp;q=q&amp;y=0&amp;z=XOM&amp;x=.csv" htmlTables="1" htmlFormat="all"/>
  </connection>
  <connection id="63" name="Connection7" type="4" refreshedVersion="4" background="1" saveData="1">
    <webPr xl2000="1" url="http://ichart.yahoo.com/table.csv?s=WMT&amp;a=0&amp;b=1&amp;c=2010&amp;d=5&amp;e=1&amp;f=2011&amp;g=&amp;q=q&amp;y=0&amp;z=WMT&amp;x=.csv" htmlFormat="all"/>
  </connection>
  <connection id="64" name="Connection8" type="4" refreshedVersion="0" background="1">
    <webPr url="http://ichart.yahoo.com/table.csv?s=54.99&amp;a=1&amp;b=23&amp;c=1900&amp;d=1&amp;e=23&amp;f=1900&amp;g=&amp;q=q&amp;y=0&amp;z=54.99&amp;x=.csv" htmlTables="1" htmlFormat="all"/>
  </connection>
  <connection id="65" name="Connection9" type="4" refreshedVersion="4" background="1" saveData="1">
    <webPr xl2000="1" url="http://ichart.yahoo.com/table.csv?s=WMT&amp;a=0&amp;b=1&amp;c=2010&amp;d=5&amp;e=1&amp;f=2011&amp;g=&amp;q=q&amp;y=0&amp;z=WMT&amp;x=.csv" htmlFormat="all"/>
  </connection>
</connections>
</file>

<file path=xl/sharedStrings.xml><?xml version="1.0" encoding="utf-8"?>
<sst xmlns="http://schemas.openxmlformats.org/spreadsheetml/2006/main" count="363" uniqueCount="106">
  <si>
    <t>Date</t>
  </si>
  <si>
    <t>AMZN</t>
  </si>
  <si>
    <t>Amazon.com, Inc.</t>
  </si>
  <si>
    <t>EBAY</t>
  </si>
  <si>
    <t>eBay Inc</t>
  </si>
  <si>
    <t>GOOGL</t>
  </si>
  <si>
    <t>Alphabet Inc</t>
  </si>
  <si>
    <t>MSFT</t>
  </si>
  <si>
    <t>Microsoft Corpora...</t>
  </si>
  <si>
    <t>IBM</t>
  </si>
  <si>
    <t>Intl. Business Ma...</t>
  </si>
  <si>
    <t>CBS</t>
  </si>
  <si>
    <t>CBS Corporation</t>
  </si>
  <si>
    <t>FOXA</t>
  </si>
  <si>
    <t>Twenty-First Cent...</t>
  </si>
  <si>
    <t>OSTK</t>
  </si>
  <si>
    <t>Overstock.com Inc</t>
  </si>
  <si>
    <t>BABA</t>
  </si>
  <si>
    <t>Alibaba Group Hol...</t>
  </si>
  <si>
    <t>ROE</t>
  </si>
  <si>
    <t>ROI</t>
  </si>
  <si>
    <t>Mean</t>
  </si>
  <si>
    <t>Company Ticker/Name</t>
  </si>
  <si>
    <t>P/E</t>
  </si>
  <si>
    <t>P/B</t>
  </si>
  <si>
    <t>D/E</t>
  </si>
  <si>
    <t>25th Percentile</t>
  </si>
  <si>
    <t>50th Percentile</t>
  </si>
  <si>
    <t>75th Percentile</t>
  </si>
  <si>
    <t>Net Profit Margin</t>
  </si>
  <si>
    <t>Y/N</t>
  </si>
  <si>
    <t>Y</t>
  </si>
  <si>
    <t>AMD</t>
  </si>
  <si>
    <t>Advanced Micro De...</t>
  </si>
  <si>
    <t>INTC</t>
  </si>
  <si>
    <t>Intel Corporation</t>
  </si>
  <si>
    <t>NVDA</t>
  </si>
  <si>
    <t>NVIDIA Corporation</t>
  </si>
  <si>
    <t>TXN</t>
  </si>
  <si>
    <t>Texas Instruments...</t>
  </si>
  <si>
    <t>SNE</t>
  </si>
  <si>
    <t>Sony Corp (ADR)</t>
  </si>
  <si>
    <t>NTDOY</t>
  </si>
  <si>
    <t>Nintendo Co., Ltd...</t>
  </si>
  <si>
    <t>ARMH</t>
  </si>
  <si>
    <t>ARM Holdings plc ...</t>
  </si>
  <si>
    <t>HPQ</t>
  </si>
  <si>
    <t>HP Inc</t>
  </si>
  <si>
    <t>AAPL</t>
  </si>
  <si>
    <t>Apple Inc.</t>
  </si>
  <si>
    <t>VZ</t>
  </si>
  <si>
    <t>Verizon Communica...</t>
  </si>
  <si>
    <t>SSNNF</t>
  </si>
  <si>
    <t>SAMSUNG ELECTRONIC</t>
  </si>
  <si>
    <t>DTEGY</t>
  </si>
  <si>
    <t>Deutsche Telekom ...</t>
  </si>
  <si>
    <t>AVGO</t>
  </si>
  <si>
    <t>Broadcom Ltd</t>
  </si>
  <si>
    <t>MSCC</t>
  </si>
  <si>
    <t>Microsemi Corpora...</t>
  </si>
  <si>
    <t>NXPI</t>
  </si>
  <si>
    <t>NXP Semiconductor...</t>
  </si>
  <si>
    <t>MRVL</t>
  </si>
  <si>
    <t>Marvell Tech. Gro...</t>
  </si>
  <si>
    <t>MTSI</t>
  </si>
  <si>
    <t>MACOM Tech. Solut...</t>
  </si>
  <si>
    <t>ADI</t>
  </si>
  <si>
    <t>Analog Devices, Inc.</t>
  </si>
  <si>
    <t>QCOM</t>
  </si>
  <si>
    <t>QUALCOMM, Inc.</t>
  </si>
  <si>
    <t>News Only</t>
  </si>
  <si>
    <t>S&amp;P500</t>
  </si>
  <si>
    <t>US Treasury</t>
  </si>
  <si>
    <t>Rm-Rf</t>
  </si>
  <si>
    <t>NVDA-Rf</t>
  </si>
  <si>
    <t>TXN-Rf</t>
  </si>
  <si>
    <t>INTC-Rf</t>
  </si>
  <si>
    <t>BABA-Rf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</si>
  <si>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</si>
  <si>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</si>
  <si>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</si>
  <si>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</si>
  <si>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</si>
  <si>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</si>
  <si>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</si>
  <si>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</si>
  <si>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</si>
  <si>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</si>
  <si>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</si>
  <si>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</si>
  <si>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</si>
  <si>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</si>
  <si>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</si>
  <si>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</si>
  <si>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</si>
  <si>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</si>
  <si>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</si>
  <si>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</si>
  <si>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</si>
  <si>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</si>
  <si>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90.0%</t>
  </si>
  <si>
    <t>Upper 90.0%</t>
  </si>
  <si>
    <t>AMD-Rf</t>
  </si>
  <si>
    <t>AAPL-Rf</t>
  </si>
  <si>
    <t>AVGO-Rf</t>
  </si>
  <si>
    <t>AMZN-Rf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</si>
</sst>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2"/>
      <name val="宋体"/>
      <charset val="134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0F6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0DDEC"/>
      </top>
      <bottom style="medium">
        <color rgb="FFD0DDEC"/>
      </bottom>
      <diagonal/>
    </border>
    <border>
      <left/>
      <right/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5D5D5"/>
      </bottom>
      <diagonal/>
    </border>
    <border>
      <left style="medium">
        <color indexed="64"/>
      </left>
      <right/>
      <top style="medium">
        <color indexed="64"/>
      </top>
      <bottom style="medium">
        <color rgb="FFD0DDEC"/>
      </bottom>
      <diagonal/>
    </border>
    <border>
      <left/>
      <right/>
      <top style="medium">
        <color indexed="64"/>
      </top>
      <bottom style="medium">
        <color rgb="FFD0DDEC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rgb="FFD0DDEC"/>
      </top>
      <bottom style="medium">
        <color rgb="FFD0DDEC"/>
      </bottom>
      <diagonal/>
    </border>
    <border>
      <left style="medium">
        <color indexed="64"/>
      </left>
      <right/>
      <top style="medium">
        <color rgb="FFDDDDDD"/>
      </top>
      <bottom/>
      <diagonal/>
    </border>
    <border>
      <left style="medium">
        <color indexed="64"/>
      </left>
      <right/>
      <top style="medium">
        <color rgb="FFDDDDDD"/>
      </top>
      <bottom style="medium">
        <color rgb="FFD5D5D5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10" fontId="0" fillId="0" borderId="0" xfId="3" applyNumberFormat="1" applyFont="1"/>
    <xf numFmtId="0" fontId="2" fillId="2" borderId="7" xfId="2" applyFont="1" applyFill="1" applyBorder="1" applyAlignment="1">
      <alignment vertical="center"/>
    </xf>
    <xf numFmtId="0" fontId="2" fillId="2" borderId="8" xfId="2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3" fillId="3" borderId="6" xfId="0" applyFont="1" applyFill="1" applyBorder="1" applyAlignment="1">
      <alignment horizontal="right" vertical="center"/>
    </xf>
    <xf numFmtId="0" fontId="3" fillId="2" borderId="7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right" vertical="center"/>
    </xf>
    <xf numFmtId="0" fontId="3" fillId="4" borderId="7" xfId="0" applyFont="1" applyFill="1" applyBorder="1" applyAlignment="1">
      <alignment horizontal="right" vertical="center"/>
    </xf>
    <xf numFmtId="0" fontId="3" fillId="4" borderId="8" xfId="0" applyFont="1" applyFill="1" applyBorder="1" applyAlignment="1">
      <alignment horizontal="right" vertical="center"/>
    </xf>
    <xf numFmtId="0" fontId="0" fillId="0" borderId="11" xfId="0" applyBorder="1"/>
    <xf numFmtId="0" fontId="0" fillId="0" borderId="1" xfId="0" applyBorder="1" applyAlignment="1">
      <alignment horizontal="center"/>
    </xf>
    <xf numFmtId="0" fontId="5" fillId="3" borderId="12" xfId="0" applyFont="1" applyFill="1" applyBorder="1" applyAlignment="1">
      <alignment vertical="center"/>
    </xf>
    <xf numFmtId="0" fontId="0" fillId="0" borderId="3" xfId="0" applyBorder="1"/>
    <xf numFmtId="0" fontId="2" fillId="2" borderId="13" xfId="2" applyFont="1" applyFill="1" applyBorder="1" applyAlignment="1">
      <alignment vertical="center"/>
    </xf>
    <xf numFmtId="0" fontId="0" fillId="0" borderId="3" xfId="0" applyBorder="1" applyAlignment="1">
      <alignment horizontal="center"/>
    </xf>
    <xf numFmtId="0" fontId="2" fillId="2" borderId="14" xfId="2" applyFont="1" applyFill="1" applyBorder="1" applyAlignment="1">
      <alignment vertical="center"/>
    </xf>
    <xf numFmtId="0" fontId="0" fillId="0" borderId="2" xfId="0" applyBorder="1"/>
    <xf numFmtId="0" fontId="0" fillId="0" borderId="0" xfId="0" applyBorder="1"/>
    <xf numFmtId="0" fontId="0" fillId="4" borderId="0" xfId="0" applyFill="1" applyBorder="1"/>
    <xf numFmtId="0" fontId="0" fillId="0" borderId="15" xfId="0" applyBorder="1"/>
    <xf numFmtId="0" fontId="0" fillId="0" borderId="5" xfId="0" applyBorder="1"/>
    <xf numFmtId="4" fontId="3" fillId="3" borderId="6" xfId="0" applyNumberFormat="1" applyFont="1" applyFill="1" applyBorder="1" applyAlignment="1">
      <alignment horizontal="right" vertical="center"/>
    </xf>
    <xf numFmtId="0" fontId="3" fillId="4" borderId="6" xfId="0" applyFont="1" applyFill="1" applyBorder="1" applyAlignment="1">
      <alignment horizontal="right" vertical="center"/>
    </xf>
    <xf numFmtId="0" fontId="2" fillId="5" borderId="7" xfId="2" applyFont="1" applyFill="1" applyBorder="1" applyAlignment="1">
      <alignment vertical="center"/>
    </xf>
    <xf numFmtId="0" fontId="3" fillId="5" borderId="7" xfId="0" applyFont="1" applyFill="1" applyBorder="1" applyAlignment="1">
      <alignment horizontal="right" vertical="center"/>
    </xf>
    <xf numFmtId="10" fontId="0" fillId="0" borderId="0" xfId="0" applyNumberFormat="1"/>
    <xf numFmtId="0" fontId="0" fillId="0" borderId="0" xfId="0" applyFill="1" applyBorder="1" applyAlignment="1"/>
    <xf numFmtId="0" fontId="0" fillId="0" borderId="15" xfId="0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Continuous"/>
    </xf>
    <xf numFmtId="0" fontId="0" fillId="4" borderId="0" xfId="0" applyFill="1" applyBorder="1" applyAlignment="1"/>
    <xf numFmtId="0" fontId="0" fillId="6" borderId="0" xfId="0" applyFill="1" applyBorder="1" applyAlignme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4" borderId="15" xfId="0" applyFill="1" applyBorder="1" applyAlignment="1"/>
    <xf numFmtId="11" fontId="0" fillId="0" borderId="15" xfId="0" applyNumberFormat="1" applyFill="1" applyBorder="1" applyAlignment="1"/>
  </cellXfs>
  <cellStyles count="4">
    <cellStyle name="Hyperlink" xfId="2" builtinId="8"/>
    <cellStyle name="Normal" xfId="0" builtinId="0"/>
    <cellStyle name="Normal 2" xfId="1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finance.google.com/finance?q=NASDAQ:GOOGL&amp;ei=CUYNWrC9EJTNuATx14bQCw" TargetMode="External"/><Relationship Id="rId18" Type="http://schemas.openxmlformats.org/officeDocument/2006/relationships/hyperlink" Target="https://finance.google.com/finance?q=NASDAQ:INTC&amp;ei=NkkNWuGpO9TaugT4sJb4Bw" TargetMode="External"/><Relationship Id="rId26" Type="http://schemas.openxmlformats.org/officeDocument/2006/relationships/hyperlink" Target="https://finance.google.com/finance?q=NYSE:SNE&amp;ei=NkkNWuGpO9TaugT4sJb4Bw" TargetMode="External"/><Relationship Id="rId39" Type="http://schemas.openxmlformats.org/officeDocument/2006/relationships/hyperlink" Target="https://finance.google.com/finance?q=NASDAQ:GOOGL&amp;ei=6UoNWvGfBdKougSo6oSoAQ" TargetMode="External"/><Relationship Id="rId21" Type="http://schemas.openxmlformats.org/officeDocument/2006/relationships/hyperlink" Target="https://finance.google.com/finance?q=NASDAQ:MSFT&amp;ei=NkkNWuGpO9TaugT4sJb4Bw" TargetMode="External"/><Relationship Id="rId34" Type="http://schemas.openxmlformats.org/officeDocument/2006/relationships/hyperlink" Target="https://finance.google.com/finance?q=NASDAQ:MSFT&amp;ei=6UoNWvGfBdKougSo6oSoAQ" TargetMode="External"/><Relationship Id="rId42" Type="http://schemas.openxmlformats.org/officeDocument/2006/relationships/hyperlink" Target="https://finance.google.com/finance?q=NYSE:SNE&amp;ei=6UoNWvGfBdKougSo6oSoAQ" TargetMode="External"/><Relationship Id="rId47" Type="http://schemas.openxmlformats.org/officeDocument/2006/relationships/hyperlink" Target="https://finance.google.com/finance?q=OTCMKTS:DTEGY&amp;ei=6UoNWvGfBdKougSo6oSoAQ" TargetMode="External"/><Relationship Id="rId50" Type="http://schemas.openxmlformats.org/officeDocument/2006/relationships/hyperlink" Target="https://finance.google.com/finance?q=NASDAQ:MSCC&amp;ei=rkwNWpj6KNiyugSdo4CYAg" TargetMode="External"/><Relationship Id="rId55" Type="http://schemas.openxmlformats.org/officeDocument/2006/relationships/hyperlink" Target="https://finance.google.com/finance?q=NASDAQ:NXPI&amp;ei=rkwNWpj6KNiyugSdo4CYAg" TargetMode="External"/><Relationship Id="rId63" Type="http://schemas.openxmlformats.org/officeDocument/2006/relationships/hyperlink" Target="https://finance.google.com/finance?q=NASDAQ:QCOM&amp;ei=rkwNWpj6KNiyugSdo4CYAg" TargetMode="External"/><Relationship Id="rId7" Type="http://schemas.openxmlformats.org/officeDocument/2006/relationships/hyperlink" Target="https://finance.google.com/finance?q=NYSE:CBS&amp;ei=CUYNWrC9EJTNuATx14bQCw" TargetMode="External"/><Relationship Id="rId2" Type="http://schemas.openxmlformats.org/officeDocument/2006/relationships/hyperlink" Target="https://finance.google.com/finance?q=NYSE:BABA&amp;ei=CUYNWrC9EJTNuATx14bQCw" TargetMode="External"/><Relationship Id="rId16" Type="http://schemas.openxmlformats.org/officeDocument/2006/relationships/hyperlink" Target="https://finance.google.com/finance?q=NASDAQ:EBAY&amp;ei=CUYNWrC9EJTNuATx14bQCw" TargetMode="External"/><Relationship Id="rId20" Type="http://schemas.openxmlformats.org/officeDocument/2006/relationships/hyperlink" Target="https://finance.google.com/finance?q=NASDAQ:NVDA&amp;ei=NkkNWuGpO9TaugT4sJb4Bw" TargetMode="External"/><Relationship Id="rId29" Type="http://schemas.openxmlformats.org/officeDocument/2006/relationships/hyperlink" Target="https://finance.google.com/finance?q=NASDAQ:ARMH&amp;ei=NkkNWuGpO9TaugT4sJb4Bw" TargetMode="External"/><Relationship Id="rId41" Type="http://schemas.openxmlformats.org/officeDocument/2006/relationships/hyperlink" Target="https://finance.google.com/finance?q=NYSE:SNE&amp;ei=6UoNWvGfBdKougSo6oSoAQ" TargetMode="External"/><Relationship Id="rId54" Type="http://schemas.openxmlformats.org/officeDocument/2006/relationships/hyperlink" Target="https://finance.google.com/finance?q=NASDAQ:INTC&amp;ei=rkwNWpj6KNiyugSdo4CYAg" TargetMode="External"/><Relationship Id="rId62" Type="http://schemas.openxmlformats.org/officeDocument/2006/relationships/hyperlink" Target="https://finance.google.com/finance?q=NASDAQ:ADI&amp;ei=rkwNWpj6KNiyugSdo4CYAg" TargetMode="External"/><Relationship Id="rId1" Type="http://schemas.openxmlformats.org/officeDocument/2006/relationships/hyperlink" Target="https://finance.google.com/finance?q=NYSE:BABA&amp;ei=CUYNWrC9EJTNuATx14bQCw" TargetMode="External"/><Relationship Id="rId6" Type="http://schemas.openxmlformats.org/officeDocument/2006/relationships/hyperlink" Target="https://finance.google.com/finance?q=NASDAQ:FOXA&amp;ei=CUYNWrC9EJTNuATx14bQCw" TargetMode="External"/><Relationship Id="rId11" Type="http://schemas.openxmlformats.org/officeDocument/2006/relationships/hyperlink" Target="https://finance.google.com/finance?q=NASDAQ:MSFT&amp;ei=CUYNWrC9EJTNuATx14bQCw" TargetMode="External"/><Relationship Id="rId24" Type="http://schemas.openxmlformats.org/officeDocument/2006/relationships/hyperlink" Target="https://finance.google.com/finance?q=NASDAQ:TXN&amp;ei=NkkNWuGpO9TaugT4sJb4Bw" TargetMode="External"/><Relationship Id="rId32" Type="http://schemas.openxmlformats.org/officeDocument/2006/relationships/hyperlink" Target="https://finance.google.com/finance?q=NYSE:HPQ&amp;ei=NkkNWuGpO9TaugT4sJb4Bw" TargetMode="External"/><Relationship Id="rId37" Type="http://schemas.openxmlformats.org/officeDocument/2006/relationships/hyperlink" Target="https://finance.google.com/finance?q=NYSE:HPQ&amp;ei=6UoNWvGfBdKougSo6oSoAQ" TargetMode="External"/><Relationship Id="rId40" Type="http://schemas.openxmlformats.org/officeDocument/2006/relationships/hyperlink" Target="https://finance.google.com/finance?q=NASDAQ:GOOGL&amp;ei=6UoNWvGfBdKougSo6oSoAQ" TargetMode="External"/><Relationship Id="rId45" Type="http://schemas.openxmlformats.org/officeDocument/2006/relationships/hyperlink" Target="https://finance.google.com/finance?q=NASDAQ:NVDA&amp;ei=6UoNWvGfBdKougSo6oSoAQ" TargetMode="External"/><Relationship Id="rId53" Type="http://schemas.openxmlformats.org/officeDocument/2006/relationships/hyperlink" Target="https://finance.google.com/finance?q=NASDAQ:INTC&amp;ei=rkwNWpj6KNiyugSdo4CYAg" TargetMode="External"/><Relationship Id="rId58" Type="http://schemas.openxmlformats.org/officeDocument/2006/relationships/hyperlink" Target="https://finance.google.com/finance?q=NASDAQ:MRVL&amp;ei=rkwNWpj6KNiyugSdo4CYAg" TargetMode="External"/><Relationship Id="rId5" Type="http://schemas.openxmlformats.org/officeDocument/2006/relationships/hyperlink" Target="https://finance.google.com/finance?q=NASDAQ:FOXA&amp;ei=CUYNWrC9EJTNuATx14bQCw" TargetMode="External"/><Relationship Id="rId15" Type="http://schemas.openxmlformats.org/officeDocument/2006/relationships/hyperlink" Target="https://finance.google.com/finance?q=NASDAQ:EBAY&amp;ei=CUYNWrC9EJTNuATx14bQCw" TargetMode="External"/><Relationship Id="rId23" Type="http://schemas.openxmlformats.org/officeDocument/2006/relationships/hyperlink" Target="https://finance.google.com/finance?q=NASDAQ:TXN&amp;ei=NkkNWuGpO9TaugT4sJb4Bw" TargetMode="External"/><Relationship Id="rId28" Type="http://schemas.openxmlformats.org/officeDocument/2006/relationships/hyperlink" Target="https://finance.google.com/finance?q=OTCMKTS:NTDOY&amp;ei=NkkNWuGpO9TaugT4sJb4Bw" TargetMode="External"/><Relationship Id="rId36" Type="http://schemas.openxmlformats.org/officeDocument/2006/relationships/hyperlink" Target="https://finance.google.com/finance?q=NYSE:VZ&amp;ei=6UoNWvGfBdKougSo6oSoAQ" TargetMode="External"/><Relationship Id="rId49" Type="http://schemas.openxmlformats.org/officeDocument/2006/relationships/hyperlink" Target="https://finance.google.com/finance?q=NASDAQ:MSCC&amp;ei=rkwNWpj6KNiyugSdo4CYAg" TargetMode="External"/><Relationship Id="rId57" Type="http://schemas.openxmlformats.org/officeDocument/2006/relationships/hyperlink" Target="https://finance.google.com/finance?q=NASDAQ:MRVL&amp;ei=rkwNWpj6KNiyugSdo4CYAg" TargetMode="External"/><Relationship Id="rId61" Type="http://schemas.openxmlformats.org/officeDocument/2006/relationships/hyperlink" Target="https://finance.google.com/finance?q=NASDAQ:ADI&amp;ei=rkwNWpj6KNiyugSdo4CYAg" TargetMode="External"/><Relationship Id="rId10" Type="http://schemas.openxmlformats.org/officeDocument/2006/relationships/hyperlink" Target="https://finance.google.com/finance?q=NYSE:IBM&amp;ei=CUYNWrC9EJTNuATx14bQCw" TargetMode="External"/><Relationship Id="rId19" Type="http://schemas.openxmlformats.org/officeDocument/2006/relationships/hyperlink" Target="https://finance.google.com/finance?q=NASDAQ:NVDA&amp;ei=NkkNWuGpO9TaugT4sJb4Bw" TargetMode="External"/><Relationship Id="rId31" Type="http://schemas.openxmlformats.org/officeDocument/2006/relationships/hyperlink" Target="https://finance.google.com/finance?q=NYSE:HPQ&amp;ei=NkkNWuGpO9TaugT4sJb4Bw" TargetMode="External"/><Relationship Id="rId44" Type="http://schemas.openxmlformats.org/officeDocument/2006/relationships/hyperlink" Target="https://finance.google.com/finance?q=OTCMKTS:SSNNF&amp;ei=6UoNWvGfBdKougSo6oSoAQ" TargetMode="External"/><Relationship Id="rId52" Type="http://schemas.openxmlformats.org/officeDocument/2006/relationships/hyperlink" Target="https://finance.google.com/finance?q=NASDAQ:TXN&amp;ei=rkwNWpj6KNiyugSdo4CYAg" TargetMode="External"/><Relationship Id="rId60" Type="http://schemas.openxmlformats.org/officeDocument/2006/relationships/hyperlink" Target="https://finance.google.com/finance?q=NASDAQ:MTSI&amp;ei=rkwNWpj6KNiyugSdo4CYAg" TargetMode="External"/><Relationship Id="rId4" Type="http://schemas.openxmlformats.org/officeDocument/2006/relationships/hyperlink" Target="https://finance.google.com/finance?q=NASDAQ:OSTK&amp;ei=CUYNWrC9EJTNuATx14bQCw" TargetMode="External"/><Relationship Id="rId9" Type="http://schemas.openxmlformats.org/officeDocument/2006/relationships/hyperlink" Target="https://finance.google.com/finance?q=NYSE:IBM&amp;ei=CUYNWrC9EJTNuATx14bQCw" TargetMode="External"/><Relationship Id="rId14" Type="http://schemas.openxmlformats.org/officeDocument/2006/relationships/hyperlink" Target="https://finance.google.com/finance?q=NASDAQ:GOOGL&amp;ei=CUYNWrC9EJTNuATx14bQCw" TargetMode="External"/><Relationship Id="rId22" Type="http://schemas.openxmlformats.org/officeDocument/2006/relationships/hyperlink" Target="https://finance.google.com/finance?q=NASDAQ:MSFT&amp;ei=NkkNWuGpO9TaugT4sJb4Bw" TargetMode="External"/><Relationship Id="rId27" Type="http://schemas.openxmlformats.org/officeDocument/2006/relationships/hyperlink" Target="https://finance.google.com/finance?q=OTCMKTS:NTDOY&amp;ei=NkkNWuGpO9TaugT4sJb4Bw" TargetMode="External"/><Relationship Id="rId30" Type="http://schemas.openxmlformats.org/officeDocument/2006/relationships/hyperlink" Target="https://finance.google.com/finance?q=NASDAQ:ARMH&amp;ei=NkkNWuGpO9TaugT4sJb4Bw" TargetMode="External"/><Relationship Id="rId35" Type="http://schemas.openxmlformats.org/officeDocument/2006/relationships/hyperlink" Target="https://finance.google.com/finance?q=NYSE:VZ&amp;ei=6UoNWvGfBdKougSo6oSoAQ" TargetMode="External"/><Relationship Id="rId43" Type="http://schemas.openxmlformats.org/officeDocument/2006/relationships/hyperlink" Target="https://finance.google.com/finance?q=OTCMKTS:SSNNF&amp;ei=6UoNWvGfBdKougSo6oSoAQ" TargetMode="External"/><Relationship Id="rId48" Type="http://schemas.openxmlformats.org/officeDocument/2006/relationships/hyperlink" Target="https://finance.google.com/finance?q=OTCMKTS:DTEGY&amp;ei=6UoNWvGfBdKougSo6oSoAQ" TargetMode="External"/><Relationship Id="rId56" Type="http://schemas.openxmlformats.org/officeDocument/2006/relationships/hyperlink" Target="https://finance.google.com/finance?q=NASDAQ:NXPI&amp;ei=rkwNWpj6KNiyugSdo4CYAg" TargetMode="External"/><Relationship Id="rId64" Type="http://schemas.openxmlformats.org/officeDocument/2006/relationships/hyperlink" Target="https://finance.google.com/finance?q=NASDAQ:QCOM&amp;ei=rkwNWpj6KNiyugSdo4CYAg" TargetMode="External"/><Relationship Id="rId8" Type="http://schemas.openxmlformats.org/officeDocument/2006/relationships/hyperlink" Target="https://finance.google.com/finance?q=NYSE:CBS&amp;ei=CUYNWrC9EJTNuATx14bQCw" TargetMode="External"/><Relationship Id="rId51" Type="http://schemas.openxmlformats.org/officeDocument/2006/relationships/hyperlink" Target="https://finance.google.com/finance?q=NASDAQ:TXN&amp;ei=rkwNWpj6KNiyugSdo4CYAg" TargetMode="External"/><Relationship Id="rId3" Type="http://schemas.openxmlformats.org/officeDocument/2006/relationships/hyperlink" Target="https://finance.google.com/finance?q=NASDAQ:OSTK&amp;ei=CUYNWrC9EJTNuATx14bQCw" TargetMode="External"/><Relationship Id="rId12" Type="http://schemas.openxmlformats.org/officeDocument/2006/relationships/hyperlink" Target="https://finance.google.com/finance?q=NASDAQ:MSFT&amp;ei=CUYNWrC9EJTNuATx14bQCw" TargetMode="External"/><Relationship Id="rId17" Type="http://schemas.openxmlformats.org/officeDocument/2006/relationships/hyperlink" Target="https://finance.google.com/finance?q=NASDAQ:INTC&amp;ei=NkkNWuGpO9TaugT4sJb4Bw" TargetMode="External"/><Relationship Id="rId25" Type="http://schemas.openxmlformats.org/officeDocument/2006/relationships/hyperlink" Target="https://finance.google.com/finance?q=NYSE:SNE&amp;ei=NkkNWuGpO9TaugT4sJb4Bw" TargetMode="External"/><Relationship Id="rId33" Type="http://schemas.openxmlformats.org/officeDocument/2006/relationships/hyperlink" Target="https://finance.google.com/finance?q=NASDAQ:MSFT&amp;ei=6UoNWvGfBdKougSo6oSoAQ" TargetMode="External"/><Relationship Id="rId38" Type="http://schemas.openxmlformats.org/officeDocument/2006/relationships/hyperlink" Target="https://finance.google.com/finance?q=NYSE:HPQ&amp;ei=6UoNWvGfBdKougSo6oSoAQ" TargetMode="External"/><Relationship Id="rId46" Type="http://schemas.openxmlformats.org/officeDocument/2006/relationships/hyperlink" Target="https://finance.google.com/finance?q=NASDAQ:NVDA&amp;ei=6UoNWvGfBdKougSo6oSoAQ" TargetMode="External"/><Relationship Id="rId59" Type="http://schemas.openxmlformats.org/officeDocument/2006/relationships/hyperlink" Target="https://finance.google.com/finance?q=NASDAQ:MTSI&amp;ei=rkwNWpj6KNiyugSdo4CYA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3"/>
  <sheetViews>
    <sheetView tabSelected="1" workbookViewId="0">
      <selection activeCell="I19" sqref="I19"/>
    </sheetView>
  </sheetViews>
  <sheetFormatPr defaultRowHeight="14.4"/>
  <cols>
    <col min="2" max="2" width="18" bestFit="1" customWidth="1"/>
    <col min="3" max="3" width="8" bestFit="1" customWidth="1"/>
    <col min="4" max="4" width="12" bestFit="1" customWidth="1"/>
    <col min="6" max="6" width="12" bestFit="1" customWidth="1"/>
    <col min="8" max="8" width="15" customWidth="1"/>
  </cols>
  <sheetData>
    <row r="1" spans="1:11" ht="15" thickBot="1">
      <c r="A1" s="34" t="s">
        <v>22</v>
      </c>
      <c r="B1" s="35"/>
      <c r="C1" s="11" t="s">
        <v>23</v>
      </c>
      <c r="D1" s="11" t="s">
        <v>24</v>
      </c>
      <c r="E1" s="11" t="s">
        <v>25</v>
      </c>
      <c r="F1" s="11" t="s">
        <v>19</v>
      </c>
      <c r="G1" s="11" t="s">
        <v>20</v>
      </c>
      <c r="H1" s="11" t="s">
        <v>29</v>
      </c>
      <c r="I1" s="12" t="s">
        <v>30</v>
      </c>
      <c r="K1" t="s">
        <v>70</v>
      </c>
    </row>
    <row r="2" spans="1:11" ht="15" thickBot="1">
      <c r="A2" s="13" t="s">
        <v>1</v>
      </c>
      <c r="B2" s="5" t="s">
        <v>2</v>
      </c>
      <c r="C2" s="6">
        <v>284.39</v>
      </c>
      <c r="D2" s="6">
        <v>28.12</v>
      </c>
      <c r="E2" s="6">
        <v>100.36</v>
      </c>
      <c r="F2" s="6">
        <v>14.52</v>
      </c>
      <c r="G2" s="6">
        <v>7</v>
      </c>
      <c r="H2" s="6">
        <v>1.81</v>
      </c>
      <c r="I2" s="14"/>
      <c r="K2" t="s">
        <v>32</v>
      </c>
    </row>
    <row r="3" spans="1:11" ht="15" thickBot="1">
      <c r="A3" s="15" t="s">
        <v>3</v>
      </c>
      <c r="B3" s="3" t="s">
        <v>4</v>
      </c>
      <c r="C3" s="9">
        <v>5.21</v>
      </c>
      <c r="D3" s="9">
        <v>3.63</v>
      </c>
      <c r="E3" s="7">
        <v>85.02</v>
      </c>
      <c r="F3" s="9">
        <v>85.13</v>
      </c>
      <c r="G3" s="9">
        <v>41.05</v>
      </c>
      <c r="H3" s="9">
        <v>81.13</v>
      </c>
      <c r="I3" s="16" t="s">
        <v>31</v>
      </c>
      <c r="K3" t="s">
        <v>56</v>
      </c>
    </row>
    <row r="4" spans="1:11" ht="15" thickBot="1">
      <c r="A4" s="15" t="s">
        <v>5</v>
      </c>
      <c r="B4" s="3" t="s">
        <v>6</v>
      </c>
      <c r="C4" s="7">
        <v>34.53</v>
      </c>
      <c r="D4" s="9">
        <v>5.18</v>
      </c>
      <c r="E4" s="9">
        <v>2.83</v>
      </c>
      <c r="F4" s="7">
        <v>15.02</v>
      </c>
      <c r="G4" s="7">
        <v>13.97</v>
      </c>
      <c r="H4" s="7">
        <v>21.58</v>
      </c>
      <c r="I4" s="14"/>
      <c r="K4" t="s">
        <v>48</v>
      </c>
    </row>
    <row r="5" spans="1:11" ht="15" thickBot="1">
      <c r="A5" s="15" t="s">
        <v>7</v>
      </c>
      <c r="B5" s="3" t="s">
        <v>8</v>
      </c>
      <c r="C5" s="7">
        <v>28.07</v>
      </c>
      <c r="D5" s="7">
        <v>7.39</v>
      </c>
      <c r="E5" s="7">
        <v>98.27</v>
      </c>
      <c r="F5" s="7">
        <v>26.55</v>
      </c>
      <c r="G5" s="7">
        <v>12.9</v>
      </c>
      <c r="H5" s="9">
        <v>23.57</v>
      </c>
      <c r="I5" s="14"/>
    </row>
    <row r="6" spans="1:11" ht="15" thickBot="1">
      <c r="A6" s="15" t="s">
        <v>9</v>
      </c>
      <c r="B6" s="3" t="s">
        <v>10</v>
      </c>
      <c r="C6" s="9">
        <v>12.28</v>
      </c>
      <c r="D6" s="7">
        <v>7.72</v>
      </c>
      <c r="E6" s="7">
        <v>231.11</v>
      </c>
      <c r="F6" s="9">
        <v>73.099999999999994</v>
      </c>
      <c r="G6" s="9">
        <v>15.12</v>
      </c>
      <c r="H6" s="7">
        <v>14.87</v>
      </c>
      <c r="I6" s="16" t="s">
        <v>31</v>
      </c>
    </row>
    <row r="7" spans="1:11" ht="15" thickBot="1">
      <c r="A7" s="15" t="s">
        <v>11</v>
      </c>
      <c r="B7" s="3" t="s">
        <v>12</v>
      </c>
      <c r="C7" s="7">
        <v>16.29</v>
      </c>
      <c r="D7" s="7">
        <v>6.3</v>
      </c>
      <c r="E7" s="7">
        <v>254.13</v>
      </c>
      <c r="F7" s="9">
        <v>33.549999999999997</v>
      </c>
      <c r="G7" s="7">
        <v>7.87</v>
      </c>
      <c r="H7" s="7">
        <v>12.17</v>
      </c>
      <c r="I7" s="14"/>
    </row>
    <row r="8" spans="1:11" ht="15" thickBot="1">
      <c r="A8" s="15" t="s">
        <v>13</v>
      </c>
      <c r="B8" s="3" t="s">
        <v>14</v>
      </c>
      <c r="C8" s="7">
        <v>17.7</v>
      </c>
      <c r="D8" s="9">
        <v>3.3</v>
      </c>
      <c r="E8" s="7">
        <v>126.66</v>
      </c>
      <c r="F8" s="7">
        <v>20.39</v>
      </c>
      <c r="G8" s="7">
        <v>8.08</v>
      </c>
      <c r="H8" s="7">
        <v>11.47</v>
      </c>
      <c r="I8" s="14"/>
    </row>
    <row r="9" spans="1:11" ht="15" thickBot="1">
      <c r="A9" s="15" t="s">
        <v>15</v>
      </c>
      <c r="B9" s="3" t="s">
        <v>16</v>
      </c>
      <c r="C9" s="7"/>
      <c r="D9" s="7">
        <v>7.29</v>
      </c>
      <c r="E9" s="9">
        <v>33.799999999999997</v>
      </c>
      <c r="F9" s="7">
        <v>7.69</v>
      </c>
      <c r="G9" s="7">
        <v>5.5</v>
      </c>
      <c r="H9" s="7">
        <v>0.62</v>
      </c>
      <c r="I9" s="14"/>
    </row>
    <row r="10" spans="1:11" ht="15" thickBot="1">
      <c r="A10" s="17" t="s">
        <v>17</v>
      </c>
      <c r="B10" s="4" t="s">
        <v>18</v>
      </c>
      <c r="C10" s="8">
        <v>51.24</v>
      </c>
      <c r="D10" s="8">
        <v>10.92</v>
      </c>
      <c r="E10" s="10">
        <v>32.549999999999997</v>
      </c>
      <c r="F10" s="8">
        <v>17.62</v>
      </c>
      <c r="G10" s="10">
        <v>14.22</v>
      </c>
      <c r="H10" s="10">
        <v>29.22</v>
      </c>
      <c r="I10" s="16" t="s">
        <v>31</v>
      </c>
    </row>
    <row r="11" spans="1:11">
      <c r="A11" s="18"/>
      <c r="B11" s="19"/>
      <c r="C11" s="19"/>
      <c r="D11" s="19"/>
      <c r="E11" s="19"/>
      <c r="F11" s="19"/>
      <c r="G11" s="19"/>
      <c r="H11" s="19"/>
      <c r="I11" s="14"/>
    </row>
    <row r="12" spans="1:11">
      <c r="A12" s="36" t="s">
        <v>26</v>
      </c>
      <c r="B12" s="37"/>
      <c r="C12" s="20">
        <f>QUARTILE(C2:C10,1)</f>
        <v>15.2875</v>
      </c>
      <c r="D12" s="20">
        <f t="shared" ref="D12:H12" si="0">QUARTILE(D2:D10,1)</f>
        <v>5.18</v>
      </c>
      <c r="E12" s="20">
        <f t="shared" si="0"/>
        <v>33.799999999999997</v>
      </c>
      <c r="F12" s="19">
        <f t="shared" si="0"/>
        <v>15.02</v>
      </c>
      <c r="G12" s="19">
        <f t="shared" si="0"/>
        <v>7.87</v>
      </c>
      <c r="H12" s="19">
        <f t="shared" si="0"/>
        <v>11.47</v>
      </c>
      <c r="I12" s="14"/>
    </row>
    <row r="13" spans="1:11">
      <c r="A13" s="36" t="s">
        <v>27</v>
      </c>
      <c r="B13" s="37"/>
      <c r="C13" s="19">
        <f>QUARTILE(C2:C10,2)</f>
        <v>22.884999999999998</v>
      </c>
      <c r="D13" s="19">
        <f t="shared" ref="D13:H13" si="1">QUARTILE(D2:D10,2)</f>
        <v>7.29</v>
      </c>
      <c r="E13" s="19">
        <f t="shared" si="1"/>
        <v>98.27</v>
      </c>
      <c r="F13" s="19">
        <f t="shared" si="1"/>
        <v>20.39</v>
      </c>
      <c r="G13" s="19">
        <f t="shared" si="1"/>
        <v>12.9</v>
      </c>
      <c r="H13" s="19">
        <f t="shared" si="1"/>
        <v>14.87</v>
      </c>
      <c r="I13" s="14"/>
    </row>
    <row r="14" spans="1:11">
      <c r="A14" s="36" t="s">
        <v>28</v>
      </c>
      <c r="B14" s="37"/>
      <c r="C14" s="19">
        <f>QUARTILE(C2:C10,3)</f>
        <v>38.707500000000003</v>
      </c>
      <c r="D14" s="19">
        <f t="shared" ref="D14:H14" si="2">QUARTILE(D2:D10,3)</f>
        <v>7.72</v>
      </c>
      <c r="E14" s="19">
        <f t="shared" si="2"/>
        <v>126.66</v>
      </c>
      <c r="F14" s="20">
        <f t="shared" si="2"/>
        <v>33.549999999999997</v>
      </c>
      <c r="G14" s="20">
        <f t="shared" si="2"/>
        <v>14.22</v>
      </c>
      <c r="H14" s="20">
        <f t="shared" si="2"/>
        <v>23.57</v>
      </c>
      <c r="I14" s="14"/>
    </row>
    <row r="15" spans="1:11" ht="15" thickBot="1">
      <c r="A15" s="38" t="s">
        <v>21</v>
      </c>
      <c r="B15" s="39"/>
      <c r="C15" s="21">
        <f>AVERAGE(C2:C10)</f>
        <v>56.213749999999997</v>
      </c>
      <c r="D15" s="21">
        <f t="shared" ref="D15:H15" si="3">AVERAGE(D2:D10)</f>
        <v>8.8722222222222218</v>
      </c>
      <c r="E15" s="21">
        <f t="shared" si="3"/>
        <v>107.19222222222221</v>
      </c>
      <c r="F15" s="21">
        <f t="shared" si="3"/>
        <v>32.61888888888889</v>
      </c>
      <c r="G15" s="21">
        <f t="shared" si="3"/>
        <v>13.967777777777778</v>
      </c>
      <c r="H15" s="21">
        <f t="shared" si="3"/>
        <v>21.826666666666668</v>
      </c>
      <c r="I15" s="22"/>
    </row>
    <row r="16" spans="1:11" ht="15" thickBot="1"/>
    <row r="17" spans="1:9" ht="15" thickBot="1">
      <c r="A17" s="34" t="s">
        <v>22</v>
      </c>
      <c r="B17" s="35"/>
      <c r="C17" s="11" t="s">
        <v>23</v>
      </c>
      <c r="D17" s="11" t="s">
        <v>24</v>
      </c>
      <c r="E17" s="11" t="s">
        <v>25</v>
      </c>
      <c r="F17" s="11" t="s">
        <v>19</v>
      </c>
      <c r="G17" s="11" t="s">
        <v>20</v>
      </c>
      <c r="H17" s="11" t="s">
        <v>29</v>
      </c>
      <c r="I17" s="12" t="s">
        <v>30</v>
      </c>
    </row>
    <row r="18" spans="1:9" ht="15" thickBot="1">
      <c r="A18" s="5" t="s">
        <v>32</v>
      </c>
      <c r="B18" s="5" t="s">
        <v>33</v>
      </c>
      <c r="C18" s="6"/>
      <c r="D18" s="6">
        <v>24.99</v>
      </c>
      <c r="E18" s="6">
        <v>344.95</v>
      </c>
      <c r="F18" s="23">
        <v>-24850</v>
      </c>
      <c r="G18" s="6">
        <v>-26.64</v>
      </c>
      <c r="H18" s="6">
        <v>-11.4</v>
      </c>
      <c r="I18" s="14"/>
    </row>
    <row r="19" spans="1:9" ht="15" thickBot="1">
      <c r="A19" s="3" t="s">
        <v>34</v>
      </c>
      <c r="B19" s="3" t="s">
        <v>35</v>
      </c>
      <c r="C19" s="9">
        <v>15.93</v>
      </c>
      <c r="D19" s="9">
        <v>3.28</v>
      </c>
      <c r="E19" s="9">
        <v>38.18</v>
      </c>
      <c r="F19" s="7">
        <v>16.21</v>
      </c>
      <c r="G19" s="7">
        <v>11.54</v>
      </c>
      <c r="H19" s="7">
        <v>17.37</v>
      </c>
      <c r="I19" s="16" t="s">
        <v>31</v>
      </c>
    </row>
    <row r="20" spans="1:9" ht="15" thickBot="1">
      <c r="A20" s="3" t="s">
        <v>36</v>
      </c>
      <c r="B20" s="3" t="s">
        <v>37</v>
      </c>
      <c r="C20" s="7">
        <v>52.54</v>
      </c>
      <c r="D20" s="7">
        <v>21.75</v>
      </c>
      <c r="E20" s="7">
        <v>48.87</v>
      </c>
      <c r="F20" s="9">
        <v>32.57</v>
      </c>
      <c r="G20" s="9">
        <v>25.49</v>
      </c>
      <c r="H20" s="9">
        <v>24.11</v>
      </c>
      <c r="I20" s="16" t="s">
        <v>31</v>
      </c>
    </row>
    <row r="21" spans="1:9" ht="15" thickBot="1">
      <c r="A21" s="3" t="s">
        <v>7</v>
      </c>
      <c r="B21" s="3" t="s">
        <v>8</v>
      </c>
      <c r="C21" s="7">
        <v>28.07</v>
      </c>
      <c r="D21" s="7">
        <v>7.39</v>
      </c>
      <c r="E21" s="7">
        <v>98.27</v>
      </c>
      <c r="F21" s="7">
        <v>26.55</v>
      </c>
      <c r="G21" s="7">
        <v>12.9</v>
      </c>
      <c r="H21" s="7">
        <v>23.57</v>
      </c>
      <c r="I21" s="14"/>
    </row>
    <row r="22" spans="1:9" ht="15" thickBot="1">
      <c r="A22" s="3" t="s">
        <v>38</v>
      </c>
      <c r="B22" s="3" t="s">
        <v>39</v>
      </c>
      <c r="C22" s="7">
        <v>22.04</v>
      </c>
      <c r="D22" s="7">
        <v>9.2200000000000006</v>
      </c>
      <c r="E22" s="9">
        <v>34.46</v>
      </c>
      <c r="F22" s="9">
        <v>34.78</v>
      </c>
      <c r="G22" s="9">
        <v>25.82</v>
      </c>
      <c r="H22" s="9">
        <v>26.89</v>
      </c>
      <c r="I22" s="16" t="s">
        <v>31</v>
      </c>
    </row>
    <row r="23" spans="1:9" ht="15" thickBot="1">
      <c r="A23" s="3" t="s">
        <v>40</v>
      </c>
      <c r="B23" s="3" t="s">
        <v>41</v>
      </c>
      <c r="C23" s="7">
        <v>25.57</v>
      </c>
      <c r="D23" s="9">
        <v>2.64</v>
      </c>
      <c r="E23" s="7">
        <v>48.03</v>
      </c>
      <c r="F23" s="7">
        <v>2.95</v>
      </c>
      <c r="G23" s="7">
        <v>1.1100000000000001</v>
      </c>
      <c r="H23" s="7">
        <v>1.68</v>
      </c>
      <c r="I23" s="14"/>
    </row>
    <row r="24" spans="1:9" ht="15" thickBot="1">
      <c r="A24" s="3" t="s">
        <v>42</v>
      </c>
      <c r="B24" s="3" t="s">
        <v>43</v>
      </c>
      <c r="C24" s="7"/>
      <c r="D24" s="7"/>
      <c r="E24" s="7"/>
      <c r="F24" s="7"/>
      <c r="G24" s="7"/>
      <c r="H24" s="7"/>
      <c r="I24" s="14"/>
    </row>
    <row r="25" spans="1:9" ht="15" thickBot="1">
      <c r="A25" s="3" t="s">
        <v>44</v>
      </c>
      <c r="B25" s="3" t="s">
        <v>45</v>
      </c>
      <c r="C25" s="7">
        <v>0</v>
      </c>
      <c r="D25" s="7">
        <v>13.3</v>
      </c>
      <c r="E25" s="9">
        <v>0.63</v>
      </c>
      <c r="F25" s="7">
        <v>20.43</v>
      </c>
      <c r="G25" s="7">
        <v>19.78</v>
      </c>
      <c r="H25" s="9">
        <v>35.08</v>
      </c>
      <c r="I25" s="14"/>
    </row>
    <row r="26" spans="1:9" ht="15" thickBot="1">
      <c r="A26" s="4" t="s">
        <v>46</v>
      </c>
      <c r="B26" s="4" t="s">
        <v>47</v>
      </c>
      <c r="C26" s="10">
        <v>15.38</v>
      </c>
      <c r="D26" s="8"/>
      <c r="E26" s="8"/>
      <c r="F26" s="8">
        <v>22.33</v>
      </c>
      <c r="G26" s="8">
        <v>7.16</v>
      </c>
      <c r="H26" s="8">
        <v>5.53</v>
      </c>
      <c r="I26" s="16"/>
    </row>
    <row r="27" spans="1:9">
      <c r="A27" s="18"/>
      <c r="B27" s="19"/>
      <c r="C27" s="19"/>
      <c r="D27" s="19"/>
      <c r="E27" s="19"/>
      <c r="F27" s="19"/>
      <c r="G27" s="19"/>
      <c r="H27" s="19"/>
      <c r="I27" s="14"/>
    </row>
    <row r="28" spans="1:9">
      <c r="A28" s="36" t="s">
        <v>26</v>
      </c>
      <c r="B28" s="37"/>
      <c r="C28" s="20">
        <f>QUARTILE(C18:C26,1)</f>
        <v>15.655000000000001</v>
      </c>
      <c r="D28" s="20">
        <f t="shared" ref="D28:H28" si="4">QUARTILE(D18:D26,1)</f>
        <v>5.3349999999999991</v>
      </c>
      <c r="E28" s="20">
        <f t="shared" si="4"/>
        <v>36.32</v>
      </c>
      <c r="F28" s="19">
        <f t="shared" si="4"/>
        <v>12.895</v>
      </c>
      <c r="G28" s="19">
        <f t="shared" si="4"/>
        <v>5.6475</v>
      </c>
      <c r="H28" s="19">
        <f t="shared" si="4"/>
        <v>4.5674999999999999</v>
      </c>
      <c r="I28" s="14"/>
    </row>
    <row r="29" spans="1:9">
      <c r="A29" s="36" t="s">
        <v>27</v>
      </c>
      <c r="B29" s="37"/>
      <c r="C29" s="19">
        <f>QUARTILE(C18:C26,2)</f>
        <v>22.04</v>
      </c>
      <c r="D29" s="19">
        <f t="shared" ref="D29:H29" si="5">QUARTILE(D18:D26,2)</f>
        <v>9.2200000000000006</v>
      </c>
      <c r="E29" s="19">
        <f t="shared" si="5"/>
        <v>48.03</v>
      </c>
      <c r="F29" s="19">
        <f t="shared" si="5"/>
        <v>21.38</v>
      </c>
      <c r="G29" s="19">
        <f t="shared" si="5"/>
        <v>12.219999999999999</v>
      </c>
      <c r="H29" s="19">
        <f t="shared" si="5"/>
        <v>20.47</v>
      </c>
      <c r="I29" s="14"/>
    </row>
    <row r="30" spans="1:9">
      <c r="A30" s="36" t="s">
        <v>28</v>
      </c>
      <c r="B30" s="37"/>
      <c r="C30" s="19">
        <f>QUARTILE(C18:C26,3)</f>
        <v>26.82</v>
      </c>
      <c r="D30" s="19">
        <f t="shared" ref="D30:H30" si="6">QUARTILE(D18:D26,3)</f>
        <v>17.524999999999999</v>
      </c>
      <c r="E30" s="19">
        <f t="shared" si="6"/>
        <v>73.569999999999993</v>
      </c>
      <c r="F30" s="20">
        <f t="shared" si="6"/>
        <v>28.055</v>
      </c>
      <c r="G30" s="20">
        <f t="shared" si="6"/>
        <v>21.2075</v>
      </c>
      <c r="H30" s="20">
        <f t="shared" si="6"/>
        <v>24.805</v>
      </c>
      <c r="I30" s="14"/>
    </row>
    <row r="31" spans="1:9" ht="15" thickBot="1">
      <c r="A31" s="38" t="s">
        <v>21</v>
      </c>
      <c r="B31" s="39"/>
      <c r="C31" s="21">
        <f>AVERAGE(C18:C26)</f>
        <v>22.789999999999996</v>
      </c>
      <c r="D31" s="21">
        <f t="shared" ref="D31:H31" si="7">AVERAGE(D18:D26)</f>
        <v>11.795714285714284</v>
      </c>
      <c r="E31" s="21">
        <f t="shared" si="7"/>
        <v>87.627142857142857</v>
      </c>
      <c r="F31" s="21">
        <f t="shared" si="7"/>
        <v>-3086.7725</v>
      </c>
      <c r="G31" s="21">
        <f t="shared" si="7"/>
        <v>9.6449999999999996</v>
      </c>
      <c r="H31" s="21">
        <f t="shared" si="7"/>
        <v>15.35375</v>
      </c>
      <c r="I31" s="22"/>
    </row>
    <row r="32" spans="1:9" ht="15" thickBot="1"/>
    <row r="33" spans="1:9" ht="15" thickBot="1">
      <c r="A33" s="34" t="s">
        <v>22</v>
      </c>
      <c r="B33" s="35"/>
      <c r="C33" s="11" t="s">
        <v>23</v>
      </c>
      <c r="D33" s="11" t="s">
        <v>24</v>
      </c>
      <c r="E33" s="11" t="s">
        <v>25</v>
      </c>
      <c r="F33" s="11" t="s">
        <v>19</v>
      </c>
      <c r="G33" s="11" t="s">
        <v>20</v>
      </c>
      <c r="H33" s="11" t="s">
        <v>29</v>
      </c>
      <c r="I33" s="12" t="s">
        <v>30</v>
      </c>
    </row>
    <row r="34" spans="1:9" ht="15" thickBot="1">
      <c r="A34" s="5" t="s">
        <v>48</v>
      </c>
      <c r="B34" s="5" t="s">
        <v>49</v>
      </c>
      <c r="C34" s="24">
        <v>18.41</v>
      </c>
      <c r="D34" s="6">
        <v>6.55</v>
      </c>
      <c r="E34" s="6">
        <v>86.3</v>
      </c>
      <c r="F34" s="24">
        <v>36.869999999999997</v>
      </c>
      <c r="G34" s="24">
        <v>18.7</v>
      </c>
      <c r="H34" s="24">
        <v>21.09</v>
      </c>
      <c r="I34" s="16" t="s">
        <v>31</v>
      </c>
    </row>
    <row r="35" spans="1:9" ht="15" thickBot="1">
      <c r="A35" s="3" t="s">
        <v>7</v>
      </c>
      <c r="B35" s="3" t="s">
        <v>8</v>
      </c>
      <c r="C35" s="7">
        <v>28.07</v>
      </c>
      <c r="D35" s="7">
        <v>7.39</v>
      </c>
      <c r="E35" s="7">
        <v>98.27</v>
      </c>
      <c r="F35" s="7">
        <v>26.55</v>
      </c>
      <c r="G35" s="7">
        <v>12.9</v>
      </c>
      <c r="H35" s="9">
        <v>23.57</v>
      </c>
      <c r="I35" s="16"/>
    </row>
    <row r="36" spans="1:9" ht="15" thickBot="1">
      <c r="A36" s="3" t="s">
        <v>50</v>
      </c>
      <c r="B36" s="3" t="s">
        <v>51</v>
      </c>
      <c r="C36" s="9">
        <v>11.32</v>
      </c>
      <c r="D36" s="7">
        <v>8</v>
      </c>
      <c r="E36" s="7">
        <v>479.83</v>
      </c>
      <c r="F36" s="9">
        <v>67.400000000000006</v>
      </c>
      <c r="G36" s="7">
        <v>6.48</v>
      </c>
      <c r="H36" s="7">
        <v>10.8</v>
      </c>
      <c r="I36" s="16"/>
    </row>
    <row r="37" spans="1:9" ht="15" thickBot="1">
      <c r="A37" s="3" t="s">
        <v>46</v>
      </c>
      <c r="B37" s="3" t="s">
        <v>47</v>
      </c>
      <c r="C37" s="9">
        <v>15.38</v>
      </c>
      <c r="D37" s="7"/>
      <c r="E37" s="7"/>
      <c r="F37" s="7">
        <v>22.33</v>
      </c>
      <c r="G37" s="7">
        <v>7.16</v>
      </c>
      <c r="H37" s="7">
        <v>5.53</v>
      </c>
      <c r="I37" s="16"/>
    </row>
    <row r="38" spans="1:9" ht="15" thickBot="1">
      <c r="A38" s="25" t="s">
        <v>5</v>
      </c>
      <c r="B38" s="25" t="s">
        <v>6</v>
      </c>
      <c r="C38" s="26">
        <v>34.53</v>
      </c>
      <c r="D38" s="26">
        <v>5.18</v>
      </c>
      <c r="E38" s="9">
        <v>2.83</v>
      </c>
      <c r="F38" s="26">
        <v>15.02</v>
      </c>
      <c r="G38" s="9">
        <v>13.97</v>
      </c>
      <c r="H38" s="9">
        <v>21.58</v>
      </c>
      <c r="I38" s="16"/>
    </row>
    <row r="39" spans="1:9" ht="15" thickBot="1">
      <c r="A39" s="3" t="s">
        <v>40</v>
      </c>
      <c r="B39" s="3" t="s">
        <v>41</v>
      </c>
      <c r="C39" s="7">
        <v>25.57</v>
      </c>
      <c r="D39" s="9">
        <v>2.64</v>
      </c>
      <c r="E39" s="7">
        <v>48.03</v>
      </c>
      <c r="F39" s="7">
        <v>2.95</v>
      </c>
      <c r="G39" s="7">
        <v>1.1100000000000001</v>
      </c>
      <c r="H39" s="7">
        <v>1.68</v>
      </c>
      <c r="I39" s="16"/>
    </row>
    <row r="40" spans="1:9" ht="15" thickBot="1">
      <c r="A40" s="3" t="s">
        <v>52</v>
      </c>
      <c r="B40" s="3" t="s">
        <v>53</v>
      </c>
      <c r="C40" s="7"/>
      <c r="D40" s="7"/>
      <c r="E40" s="7"/>
      <c r="F40" s="7"/>
      <c r="G40" s="7"/>
      <c r="H40" s="7"/>
      <c r="I40" s="16"/>
    </row>
    <row r="41" spans="1:9" ht="15" thickBot="1">
      <c r="A41" s="3" t="s">
        <v>36</v>
      </c>
      <c r="B41" s="3" t="s">
        <v>37</v>
      </c>
      <c r="C41" s="7">
        <v>52.54</v>
      </c>
      <c r="D41" s="7">
        <v>21.75</v>
      </c>
      <c r="E41" s="9">
        <v>48.87</v>
      </c>
      <c r="F41" s="9">
        <v>32.57</v>
      </c>
      <c r="G41" s="9">
        <v>25.49</v>
      </c>
      <c r="H41" s="9">
        <v>24.11</v>
      </c>
      <c r="I41" s="16" t="s">
        <v>31</v>
      </c>
    </row>
    <row r="42" spans="1:9" ht="15" thickBot="1">
      <c r="A42" s="4" t="s">
        <v>54</v>
      </c>
      <c r="B42" s="4" t="s">
        <v>55</v>
      </c>
      <c r="C42" s="8"/>
      <c r="D42" s="10">
        <v>2.38</v>
      </c>
      <c r="E42" s="8">
        <v>214.63</v>
      </c>
      <c r="F42" s="8">
        <v>9.11</v>
      </c>
      <c r="G42" s="8">
        <v>2.99</v>
      </c>
      <c r="H42" s="8">
        <v>4.25</v>
      </c>
      <c r="I42" s="16"/>
    </row>
    <row r="43" spans="1:9">
      <c r="A43" s="18"/>
      <c r="B43" s="19"/>
      <c r="C43" s="19"/>
      <c r="D43" s="19"/>
      <c r="E43" s="19"/>
      <c r="F43" s="19"/>
      <c r="G43" s="19"/>
      <c r="H43" s="19"/>
      <c r="I43" s="14"/>
    </row>
    <row r="44" spans="1:9">
      <c r="A44" s="36" t="s">
        <v>26</v>
      </c>
      <c r="B44" s="37"/>
      <c r="C44" s="20">
        <f>QUARTILE(C34:C42,1)</f>
        <v>16.895</v>
      </c>
      <c r="D44" s="20">
        <f t="shared" ref="D44:H44" si="8">QUARTILE(D34:D42,1)</f>
        <v>3.91</v>
      </c>
      <c r="E44" s="20">
        <f t="shared" si="8"/>
        <v>48.45</v>
      </c>
      <c r="F44" s="19">
        <f t="shared" si="8"/>
        <v>13.5425</v>
      </c>
      <c r="G44" s="19">
        <f t="shared" si="8"/>
        <v>5.6074999999999999</v>
      </c>
      <c r="H44" s="19">
        <f t="shared" si="8"/>
        <v>5.21</v>
      </c>
      <c r="I44" s="14"/>
    </row>
    <row r="45" spans="1:9">
      <c r="A45" s="36" t="s">
        <v>27</v>
      </c>
      <c r="B45" s="37"/>
      <c r="C45" s="19">
        <f>QUARTILE(C34:C42,2)</f>
        <v>25.57</v>
      </c>
      <c r="D45" s="19">
        <f t="shared" ref="D45:H45" si="9">QUARTILE(D34:D42,2)</f>
        <v>6.55</v>
      </c>
      <c r="E45" s="19">
        <f t="shared" si="9"/>
        <v>86.3</v>
      </c>
      <c r="F45" s="19">
        <f t="shared" si="9"/>
        <v>24.439999999999998</v>
      </c>
      <c r="G45" s="19">
        <f t="shared" si="9"/>
        <v>10.030000000000001</v>
      </c>
      <c r="H45" s="19">
        <f t="shared" si="9"/>
        <v>15.945</v>
      </c>
      <c r="I45" s="14"/>
    </row>
    <row r="46" spans="1:9">
      <c r="A46" s="36" t="s">
        <v>28</v>
      </c>
      <c r="B46" s="37"/>
      <c r="C46" s="19">
        <f>QUARTILE(C34:C42,3)</f>
        <v>31.3</v>
      </c>
      <c r="D46" s="19">
        <f t="shared" ref="D46:H46" si="10">QUARTILE(D34:D42,3)</f>
        <v>7.6950000000000003</v>
      </c>
      <c r="E46" s="19">
        <f t="shared" si="10"/>
        <v>156.44999999999999</v>
      </c>
      <c r="F46" s="20">
        <f t="shared" si="10"/>
        <v>33.644999999999996</v>
      </c>
      <c r="G46" s="20">
        <f t="shared" si="10"/>
        <v>15.1525</v>
      </c>
      <c r="H46" s="20">
        <f t="shared" si="10"/>
        <v>22.077500000000001</v>
      </c>
      <c r="I46" s="14"/>
    </row>
    <row r="47" spans="1:9" ht="15" thickBot="1">
      <c r="A47" s="38" t="s">
        <v>21</v>
      </c>
      <c r="B47" s="39"/>
      <c r="C47" s="21">
        <f>AVERAGE(C34:C42)</f>
        <v>26.545714285714286</v>
      </c>
      <c r="D47" s="21">
        <f t="shared" ref="D47:H47" si="11">AVERAGE(D34:D42)</f>
        <v>7.6985714285714284</v>
      </c>
      <c r="E47" s="21">
        <f t="shared" si="11"/>
        <v>139.82285714285715</v>
      </c>
      <c r="F47" s="21">
        <f t="shared" si="11"/>
        <v>26.599999999999994</v>
      </c>
      <c r="G47" s="21">
        <f t="shared" si="11"/>
        <v>11.099999999999998</v>
      </c>
      <c r="H47" s="21">
        <f t="shared" si="11"/>
        <v>14.07625</v>
      </c>
      <c r="I47" s="22"/>
    </row>
    <row r="48" spans="1:9" ht="15" thickBot="1"/>
    <row r="49" spans="1:9" ht="15" thickBot="1">
      <c r="A49" s="34" t="s">
        <v>22</v>
      </c>
      <c r="B49" s="35"/>
      <c r="C49" s="11" t="s">
        <v>23</v>
      </c>
      <c r="D49" s="11" t="s">
        <v>24</v>
      </c>
      <c r="E49" s="11" t="s">
        <v>25</v>
      </c>
      <c r="F49" s="11" t="s">
        <v>19</v>
      </c>
      <c r="G49" s="11" t="s">
        <v>20</v>
      </c>
      <c r="H49" s="11" t="s">
        <v>29</v>
      </c>
      <c r="I49" s="12" t="s">
        <v>30</v>
      </c>
    </row>
    <row r="50" spans="1:9" ht="15" thickBot="1">
      <c r="A50" s="5" t="s">
        <v>56</v>
      </c>
      <c r="B50" s="5" t="s">
        <v>57</v>
      </c>
      <c r="C50" s="6">
        <v>218.21</v>
      </c>
      <c r="D50" s="6">
        <v>5.55</v>
      </c>
      <c r="E50" s="6">
        <v>72.209999999999994</v>
      </c>
      <c r="F50" s="6">
        <v>-13.78</v>
      </c>
      <c r="G50" s="6">
        <v>-6.56</v>
      </c>
      <c r="H50" s="6">
        <v>-13.21</v>
      </c>
      <c r="I50" s="16"/>
    </row>
    <row r="51" spans="1:9" ht="15" thickBot="1">
      <c r="A51" s="3" t="s">
        <v>58</v>
      </c>
      <c r="B51" s="3" t="s">
        <v>59</v>
      </c>
      <c r="C51" s="7">
        <v>34.950000000000003</v>
      </c>
      <c r="D51" s="9">
        <v>3.07</v>
      </c>
      <c r="E51" s="7">
        <v>90.09</v>
      </c>
      <c r="F51" s="7">
        <v>9.4700000000000006</v>
      </c>
      <c r="G51" s="7">
        <v>4.38</v>
      </c>
      <c r="H51" s="7">
        <v>9.73</v>
      </c>
      <c r="I51" s="16"/>
    </row>
    <row r="52" spans="1:9" ht="15" thickBot="1">
      <c r="A52" s="3" t="s">
        <v>38</v>
      </c>
      <c r="B52" s="3" t="s">
        <v>39</v>
      </c>
      <c r="C52" s="9">
        <v>22.04</v>
      </c>
      <c r="D52" s="7">
        <v>9.2200000000000006</v>
      </c>
      <c r="E52" s="9">
        <v>34.46</v>
      </c>
      <c r="F52" s="9">
        <v>34.78</v>
      </c>
      <c r="G52" s="9">
        <v>25.82</v>
      </c>
      <c r="H52" s="9">
        <v>26.89</v>
      </c>
      <c r="I52" s="16" t="s">
        <v>31</v>
      </c>
    </row>
    <row r="53" spans="1:9" ht="15" thickBot="1">
      <c r="A53" s="3" t="s">
        <v>34</v>
      </c>
      <c r="B53" s="3" t="s">
        <v>35</v>
      </c>
      <c r="C53" s="9">
        <v>15.93</v>
      </c>
      <c r="D53" s="9">
        <v>3.28</v>
      </c>
      <c r="E53" s="9">
        <v>38.18</v>
      </c>
      <c r="F53" s="9">
        <v>16.21</v>
      </c>
      <c r="G53" s="9">
        <v>11.54</v>
      </c>
      <c r="H53" s="9">
        <v>17.37</v>
      </c>
      <c r="I53" s="16" t="s">
        <v>31</v>
      </c>
    </row>
    <row r="54" spans="1:9" ht="15" thickBot="1">
      <c r="A54" s="3" t="s">
        <v>60</v>
      </c>
      <c r="B54" s="3" t="s">
        <v>61</v>
      </c>
      <c r="C54" s="9">
        <v>20.36</v>
      </c>
      <c r="D54" s="7">
        <v>3.54</v>
      </c>
      <c r="E54" s="7">
        <v>84.01</v>
      </c>
      <c r="F54" s="7">
        <v>1.78</v>
      </c>
      <c r="G54" s="7">
        <v>1.08</v>
      </c>
      <c r="H54" s="7">
        <v>2.61</v>
      </c>
      <c r="I54" s="16"/>
    </row>
    <row r="55" spans="1:9" ht="15" thickBot="1">
      <c r="A55" s="3" t="s">
        <v>62</v>
      </c>
      <c r="B55" s="3" t="s">
        <v>63</v>
      </c>
      <c r="C55" s="7">
        <v>45.85</v>
      </c>
      <c r="D55" s="9">
        <v>2.5299999999999998</v>
      </c>
      <c r="E55" s="9">
        <v>0.92</v>
      </c>
      <c r="F55" s="7">
        <v>1.08</v>
      </c>
      <c r="G55" s="7">
        <v>1.05</v>
      </c>
      <c r="H55" s="7">
        <v>1.9</v>
      </c>
      <c r="I55" s="16"/>
    </row>
    <row r="56" spans="1:9" ht="15" thickBot="1">
      <c r="A56" s="3" t="s">
        <v>64</v>
      </c>
      <c r="B56" s="3" t="s">
        <v>65</v>
      </c>
      <c r="C56" s="7"/>
      <c r="D56" s="7">
        <v>4.25</v>
      </c>
      <c r="E56" s="7">
        <v>126.1</v>
      </c>
      <c r="F56" s="7">
        <v>-0.81</v>
      </c>
      <c r="G56" s="7">
        <v>-0.38</v>
      </c>
      <c r="H56" s="7">
        <v>-0.66</v>
      </c>
      <c r="I56" s="16"/>
    </row>
    <row r="57" spans="1:9" ht="15" thickBot="1">
      <c r="A57" s="3" t="s">
        <v>66</v>
      </c>
      <c r="B57" s="3" t="s">
        <v>67</v>
      </c>
      <c r="C57" s="7">
        <v>44.51</v>
      </c>
      <c r="D57" s="7">
        <v>5.4</v>
      </c>
      <c r="E57" s="9">
        <v>33.53</v>
      </c>
      <c r="F57" s="9">
        <v>16.829999999999998</v>
      </c>
      <c r="G57" s="9">
        <v>13.12</v>
      </c>
      <c r="H57" s="9">
        <v>25.18</v>
      </c>
      <c r="I57" s="16" t="s">
        <v>31</v>
      </c>
    </row>
    <row r="58" spans="1:9" ht="15" thickBot="1">
      <c r="A58" s="4" t="s">
        <v>68</v>
      </c>
      <c r="B58" s="4" t="s">
        <v>69</v>
      </c>
      <c r="C58" s="8">
        <v>39.68</v>
      </c>
      <c r="D58" s="10">
        <v>3.16</v>
      </c>
      <c r="E58" s="8">
        <v>71.209999999999994</v>
      </c>
      <c r="F58" s="8">
        <v>7.89</v>
      </c>
      <c r="G58" s="8">
        <v>4.95</v>
      </c>
      <c r="H58" s="8">
        <v>11.06</v>
      </c>
      <c r="I58" s="16"/>
    </row>
    <row r="59" spans="1:9">
      <c r="A59" s="18"/>
      <c r="B59" s="19"/>
      <c r="C59" s="19"/>
      <c r="D59" s="19"/>
      <c r="E59" s="19"/>
      <c r="F59" s="19"/>
      <c r="G59" s="19"/>
      <c r="H59" s="19"/>
      <c r="I59" s="14"/>
    </row>
    <row r="60" spans="1:9">
      <c r="A60" s="36" t="s">
        <v>26</v>
      </c>
      <c r="B60" s="37"/>
      <c r="C60" s="20">
        <f>QUARTILE(C50:C58,1)</f>
        <v>21.619999999999997</v>
      </c>
      <c r="D60" s="20">
        <f t="shared" ref="D60:H60" si="12">QUARTILE(D50:D58,1)</f>
        <v>3.16</v>
      </c>
      <c r="E60" s="20">
        <f t="shared" si="12"/>
        <v>34.46</v>
      </c>
      <c r="F60" s="19">
        <f t="shared" si="12"/>
        <v>1.08</v>
      </c>
      <c r="G60" s="19">
        <f t="shared" si="12"/>
        <v>1.05</v>
      </c>
      <c r="H60" s="19">
        <f t="shared" si="12"/>
        <v>1.9</v>
      </c>
      <c r="I60" s="14"/>
    </row>
    <row r="61" spans="1:9">
      <c r="A61" s="36" t="s">
        <v>27</v>
      </c>
      <c r="B61" s="37"/>
      <c r="C61" s="19">
        <f>QUARTILE(C50:C58,2)</f>
        <v>37.314999999999998</v>
      </c>
      <c r="D61" s="19">
        <f t="shared" ref="D61:H61" si="13">QUARTILE(D50:D58,2)</f>
        <v>3.54</v>
      </c>
      <c r="E61" s="19">
        <f t="shared" si="13"/>
        <v>71.209999999999994</v>
      </c>
      <c r="F61" s="19">
        <f t="shared" si="13"/>
        <v>7.89</v>
      </c>
      <c r="G61" s="19">
        <f t="shared" si="13"/>
        <v>4.38</v>
      </c>
      <c r="H61" s="19">
        <f t="shared" si="13"/>
        <v>9.73</v>
      </c>
      <c r="I61" s="14"/>
    </row>
    <row r="62" spans="1:9">
      <c r="A62" s="36" t="s">
        <v>28</v>
      </c>
      <c r="B62" s="37"/>
      <c r="C62" s="19">
        <f>QUARTILE(C50:C58,3)</f>
        <v>44.844999999999999</v>
      </c>
      <c r="D62" s="19">
        <f t="shared" ref="D62:H62" si="14">QUARTILE(D50:D58,3)</f>
        <v>5.4</v>
      </c>
      <c r="E62" s="19">
        <f t="shared" si="14"/>
        <v>84.01</v>
      </c>
      <c r="F62" s="20">
        <f t="shared" si="14"/>
        <v>16.21</v>
      </c>
      <c r="G62" s="20">
        <f t="shared" si="14"/>
        <v>11.54</v>
      </c>
      <c r="H62" s="20">
        <f t="shared" si="14"/>
        <v>17.37</v>
      </c>
      <c r="I62" s="14"/>
    </row>
    <row r="63" spans="1:9" ht="15" thickBot="1">
      <c r="A63" s="38" t="s">
        <v>21</v>
      </c>
      <c r="B63" s="39"/>
      <c r="C63" s="21">
        <f>AVERAGE(C50:C58)</f>
        <v>55.191250000000011</v>
      </c>
      <c r="D63" s="21">
        <f t="shared" ref="D63:H63" si="15">AVERAGE(D50:D58)</f>
        <v>4.4444444444444446</v>
      </c>
      <c r="E63" s="21">
        <f t="shared" si="15"/>
        <v>61.190000000000005</v>
      </c>
      <c r="F63" s="21">
        <f t="shared" si="15"/>
        <v>8.1611111111111114</v>
      </c>
      <c r="G63" s="21">
        <f t="shared" si="15"/>
        <v>6.1111111111111107</v>
      </c>
      <c r="H63" s="21">
        <f t="shared" si="15"/>
        <v>8.9855555555555569</v>
      </c>
      <c r="I63" s="22"/>
    </row>
  </sheetData>
  <mergeCells count="20">
    <mergeCell ref="A28:B28"/>
    <mergeCell ref="A29:B29"/>
    <mergeCell ref="A30:B30"/>
    <mergeCell ref="A31:B31"/>
    <mergeCell ref="A1:B1"/>
    <mergeCell ref="A12:B12"/>
    <mergeCell ref="A13:B13"/>
    <mergeCell ref="A14:B14"/>
    <mergeCell ref="A15:B15"/>
    <mergeCell ref="A17:B17"/>
    <mergeCell ref="A33:B33"/>
    <mergeCell ref="A44:B44"/>
    <mergeCell ref="A45:B45"/>
    <mergeCell ref="A46:B46"/>
    <mergeCell ref="A47:B47"/>
    <mergeCell ref="A49:B49"/>
    <mergeCell ref="A60:B60"/>
    <mergeCell ref="A61:B61"/>
    <mergeCell ref="A62:B62"/>
    <mergeCell ref="A63:B63"/>
  </mergeCells>
  <hyperlinks>
    <hyperlink ref="B10" r:id="rId1" tooltip="Alibaba Group Hol..." display="https://finance.google.com/finance?q=NYSE:BABA&amp;ei=CUYNWrC9EJTNuATx14bQCw"/>
    <hyperlink ref="A10" r:id="rId2" tooltip="Alibaba Group Hol..." display="https://finance.google.com/finance?q=NYSE:BABA&amp;ei=CUYNWrC9EJTNuATx14bQCw"/>
    <hyperlink ref="B9" r:id="rId3" tooltip="Overstock.com Inc" display="https://finance.google.com/finance?q=NASDAQ:OSTK&amp;ei=CUYNWrC9EJTNuATx14bQCw"/>
    <hyperlink ref="A9" r:id="rId4" tooltip="Overstock.com Inc" display="https://finance.google.com/finance?q=NASDAQ:OSTK&amp;ei=CUYNWrC9EJTNuATx14bQCw"/>
    <hyperlink ref="B8" r:id="rId5" tooltip="Twenty-First Cent..." display="https://finance.google.com/finance?q=NASDAQ:FOXA&amp;ei=CUYNWrC9EJTNuATx14bQCw"/>
    <hyperlink ref="A8" r:id="rId6" tooltip="Twenty-First Cent..." display="https://finance.google.com/finance?q=NASDAQ:FOXA&amp;ei=CUYNWrC9EJTNuATx14bQCw"/>
    <hyperlink ref="B7" r:id="rId7" tooltip="CBS Corporation" display="https://finance.google.com/finance?q=NYSE:CBS&amp;ei=CUYNWrC9EJTNuATx14bQCw"/>
    <hyperlink ref="A7" r:id="rId8" tooltip="CBS Corporation" display="https://finance.google.com/finance?q=NYSE:CBS&amp;ei=CUYNWrC9EJTNuATx14bQCw"/>
    <hyperlink ref="B6" r:id="rId9" tooltip="Intl. Business Ma..." display="https://finance.google.com/finance?q=NYSE:IBM&amp;ei=CUYNWrC9EJTNuATx14bQCw"/>
    <hyperlink ref="A6" r:id="rId10" tooltip="Intl. Business Ma..." display="https://finance.google.com/finance?q=NYSE:IBM&amp;ei=CUYNWrC9EJTNuATx14bQCw"/>
    <hyperlink ref="B5" r:id="rId11" tooltip="Microsoft Corpora..." display="https://finance.google.com/finance?q=NASDAQ:MSFT&amp;ei=CUYNWrC9EJTNuATx14bQCw"/>
    <hyperlink ref="A5" r:id="rId12" tooltip="Microsoft Corpora..." display="https://finance.google.com/finance?q=NASDAQ:MSFT&amp;ei=CUYNWrC9EJTNuATx14bQCw"/>
    <hyperlink ref="B4" r:id="rId13" tooltip="Alphabet Inc" display="https://finance.google.com/finance?q=NASDAQ:GOOGL&amp;ei=CUYNWrC9EJTNuATx14bQCw"/>
    <hyperlink ref="A4" r:id="rId14" tooltip="Alphabet Inc" display="https://finance.google.com/finance?q=NASDAQ:GOOGL&amp;ei=CUYNWrC9EJTNuATx14bQCw"/>
    <hyperlink ref="B3" r:id="rId15" tooltip="eBay Inc" display="https://finance.google.com/finance?q=NASDAQ:EBAY&amp;ei=CUYNWrC9EJTNuATx14bQCw"/>
    <hyperlink ref="A3" r:id="rId16" tooltip="eBay Inc" display="https://finance.google.com/finance?q=NASDAQ:EBAY&amp;ei=CUYNWrC9EJTNuATx14bQCw"/>
    <hyperlink ref="A19" r:id="rId17" tooltip="Intel Corporation" display="https://finance.google.com/finance?q=NASDAQ:INTC&amp;ei=NkkNWuGpO9TaugT4sJb4Bw"/>
    <hyperlink ref="B19" r:id="rId18" tooltip="Intel Corporation" display="https://finance.google.com/finance?q=NASDAQ:INTC&amp;ei=NkkNWuGpO9TaugT4sJb4Bw"/>
    <hyperlink ref="A20" r:id="rId19" tooltip="NVIDIA Corporation" display="https://finance.google.com/finance?q=NASDAQ:NVDA&amp;ei=NkkNWuGpO9TaugT4sJb4Bw"/>
    <hyperlink ref="B20" r:id="rId20" tooltip="NVIDIA Corporation" display="https://finance.google.com/finance?q=NASDAQ:NVDA&amp;ei=NkkNWuGpO9TaugT4sJb4Bw"/>
    <hyperlink ref="A21" r:id="rId21" tooltip="Microsoft Corpora..." display="https://finance.google.com/finance?q=NASDAQ:MSFT&amp;ei=NkkNWuGpO9TaugT4sJb4Bw"/>
    <hyperlink ref="B21" r:id="rId22" tooltip="Microsoft Corpora..." display="https://finance.google.com/finance?q=NASDAQ:MSFT&amp;ei=NkkNWuGpO9TaugT4sJb4Bw"/>
    <hyperlink ref="A22" r:id="rId23" tooltip="Texas Instruments..." display="https://finance.google.com/finance?q=NASDAQ:TXN&amp;ei=NkkNWuGpO9TaugT4sJb4Bw"/>
    <hyperlink ref="B22" r:id="rId24" tooltip="Texas Instruments..." display="https://finance.google.com/finance?q=NASDAQ:TXN&amp;ei=NkkNWuGpO9TaugT4sJb4Bw"/>
    <hyperlink ref="A23" r:id="rId25" tooltip="Sony Corp (ADR)" display="https://finance.google.com/finance?q=NYSE:SNE&amp;ei=NkkNWuGpO9TaugT4sJb4Bw"/>
    <hyperlink ref="B23" r:id="rId26" tooltip="Sony Corp (ADR)" display="https://finance.google.com/finance?q=NYSE:SNE&amp;ei=NkkNWuGpO9TaugT4sJb4Bw"/>
    <hyperlink ref="A24" r:id="rId27" tooltip="Nintendo Co., Ltd..." display="https://finance.google.com/finance?q=OTCMKTS:NTDOY&amp;ei=NkkNWuGpO9TaugT4sJb4Bw"/>
    <hyperlink ref="B24" r:id="rId28" tooltip="Nintendo Co., Ltd..." display="https://finance.google.com/finance?q=OTCMKTS:NTDOY&amp;ei=NkkNWuGpO9TaugT4sJb4Bw"/>
    <hyperlink ref="A25" r:id="rId29" tooltip="ARM Holdings plc ..." display="https://finance.google.com/finance?q=NASDAQ:ARMH&amp;ei=NkkNWuGpO9TaugT4sJb4Bw"/>
    <hyperlink ref="B25" r:id="rId30" tooltip="ARM Holdings plc ..." display="https://finance.google.com/finance?q=NASDAQ:ARMH&amp;ei=NkkNWuGpO9TaugT4sJb4Bw"/>
    <hyperlink ref="A26" r:id="rId31" tooltip="HP Inc" display="https://finance.google.com/finance?q=NYSE:HPQ&amp;ei=NkkNWuGpO9TaugT4sJb4Bw"/>
    <hyperlink ref="B26" r:id="rId32" tooltip="HP Inc" display="https://finance.google.com/finance?q=NYSE:HPQ&amp;ei=NkkNWuGpO9TaugT4sJb4Bw"/>
    <hyperlink ref="A35" r:id="rId33" tooltip="Microsoft Corpora..." display="https://finance.google.com/finance?q=NASDAQ:MSFT&amp;ei=6UoNWvGfBdKougSo6oSoAQ"/>
    <hyperlink ref="B35" r:id="rId34" tooltip="Microsoft Corpora..." display="https://finance.google.com/finance?q=NASDAQ:MSFT&amp;ei=6UoNWvGfBdKougSo6oSoAQ"/>
    <hyperlink ref="A36" r:id="rId35" tooltip="Verizon Communica..." display="https://finance.google.com/finance?q=NYSE:VZ&amp;ei=6UoNWvGfBdKougSo6oSoAQ"/>
    <hyperlink ref="B36" r:id="rId36" tooltip="Verizon Communica..." display="https://finance.google.com/finance?q=NYSE:VZ&amp;ei=6UoNWvGfBdKougSo6oSoAQ"/>
    <hyperlink ref="A37" r:id="rId37" tooltip="HP Inc" display="https://finance.google.com/finance?q=NYSE:HPQ&amp;ei=6UoNWvGfBdKougSo6oSoAQ"/>
    <hyperlink ref="B37" r:id="rId38" tooltip="HP Inc" display="https://finance.google.com/finance?q=NYSE:HPQ&amp;ei=6UoNWvGfBdKougSo6oSoAQ"/>
    <hyperlink ref="A38" r:id="rId39" tooltip="Alphabet Inc" display="https://finance.google.com/finance?q=NASDAQ:GOOGL&amp;ei=6UoNWvGfBdKougSo6oSoAQ"/>
    <hyperlink ref="B38" r:id="rId40" tooltip="Alphabet Inc" display="https://finance.google.com/finance?q=NASDAQ:GOOGL&amp;ei=6UoNWvGfBdKougSo6oSoAQ"/>
    <hyperlink ref="A39" r:id="rId41" tooltip="Sony Corp (ADR)" display="https://finance.google.com/finance?q=NYSE:SNE&amp;ei=6UoNWvGfBdKougSo6oSoAQ"/>
    <hyperlink ref="B39" r:id="rId42" tooltip="Sony Corp (ADR)" display="https://finance.google.com/finance?q=NYSE:SNE&amp;ei=6UoNWvGfBdKougSo6oSoAQ"/>
    <hyperlink ref="A40" r:id="rId43" tooltip="SAMSUNG ELECTRONIC" display="https://finance.google.com/finance?q=OTCMKTS:SSNNF&amp;ei=6UoNWvGfBdKougSo6oSoAQ"/>
    <hyperlink ref="B40" r:id="rId44" tooltip="SAMSUNG ELECTRONIC" display="https://finance.google.com/finance?q=OTCMKTS:SSNNF&amp;ei=6UoNWvGfBdKougSo6oSoAQ"/>
    <hyperlink ref="A41" r:id="rId45" tooltip="NVIDIA Corporation" display="https://finance.google.com/finance?q=NASDAQ:NVDA&amp;ei=6UoNWvGfBdKougSo6oSoAQ"/>
    <hyperlink ref="B41" r:id="rId46" tooltip="NVIDIA Corporation" display="https://finance.google.com/finance?q=NASDAQ:NVDA&amp;ei=6UoNWvGfBdKougSo6oSoAQ"/>
    <hyperlink ref="A42" r:id="rId47" tooltip="Deutsche Telekom ..." display="https://finance.google.com/finance?q=OTCMKTS:DTEGY&amp;ei=6UoNWvGfBdKougSo6oSoAQ"/>
    <hyperlink ref="B42" r:id="rId48" tooltip="Deutsche Telekom ..." display="https://finance.google.com/finance?q=OTCMKTS:DTEGY&amp;ei=6UoNWvGfBdKougSo6oSoAQ"/>
    <hyperlink ref="A51" r:id="rId49" tooltip="Microsemi Corpora..." display="https://finance.google.com/finance?q=NASDAQ:MSCC&amp;ei=rkwNWpj6KNiyugSdo4CYAg"/>
    <hyperlink ref="B51" r:id="rId50" tooltip="Microsemi Corpora..." display="https://finance.google.com/finance?q=NASDAQ:MSCC&amp;ei=rkwNWpj6KNiyugSdo4CYAg"/>
    <hyperlink ref="A52" r:id="rId51" tooltip="Texas Instruments..." display="https://finance.google.com/finance?q=NASDAQ:TXN&amp;ei=rkwNWpj6KNiyugSdo4CYAg"/>
    <hyperlink ref="B52" r:id="rId52" tooltip="Texas Instruments..." display="https://finance.google.com/finance?q=NASDAQ:TXN&amp;ei=rkwNWpj6KNiyugSdo4CYAg"/>
    <hyperlink ref="A53" r:id="rId53" tooltip="Intel Corporation" display="https://finance.google.com/finance?q=NASDAQ:INTC&amp;ei=rkwNWpj6KNiyugSdo4CYAg"/>
    <hyperlink ref="B53" r:id="rId54" tooltip="Intel Corporation" display="https://finance.google.com/finance?q=NASDAQ:INTC&amp;ei=rkwNWpj6KNiyugSdo4CYAg"/>
    <hyperlink ref="A54" r:id="rId55" tooltip="NXP Semiconductor..." display="https://finance.google.com/finance?q=NASDAQ:NXPI&amp;ei=rkwNWpj6KNiyugSdo4CYAg"/>
    <hyperlink ref="B54" r:id="rId56" tooltip="NXP Semiconductor..." display="https://finance.google.com/finance?q=NASDAQ:NXPI&amp;ei=rkwNWpj6KNiyugSdo4CYAg"/>
    <hyperlink ref="A55" r:id="rId57" tooltip="Marvell Tech. Gro..." display="https://finance.google.com/finance?q=NASDAQ:MRVL&amp;ei=rkwNWpj6KNiyugSdo4CYAg"/>
    <hyperlink ref="B55" r:id="rId58" tooltip="Marvell Tech. Gro..." display="https://finance.google.com/finance?q=NASDAQ:MRVL&amp;ei=rkwNWpj6KNiyugSdo4CYAg"/>
    <hyperlink ref="A56" r:id="rId59" tooltip="MACOM Tech. Solut..." display="https://finance.google.com/finance?q=NASDAQ:MTSI&amp;ei=rkwNWpj6KNiyugSdo4CYAg"/>
    <hyperlink ref="B56" r:id="rId60" tooltip="MACOM Tech. Solut..." display="https://finance.google.com/finance?q=NASDAQ:MTSI&amp;ei=rkwNWpj6KNiyugSdo4CYAg"/>
    <hyperlink ref="A57" r:id="rId61" tooltip="Analog Devices, Inc." display="https://finance.google.com/finance?q=NASDAQ:ADI&amp;ei=rkwNWpj6KNiyugSdo4CYAg"/>
    <hyperlink ref="B57" r:id="rId62" tooltip="Analog Devices, Inc." display="https://finance.google.com/finance?q=NASDAQ:ADI&amp;ei=rkwNWpj6KNiyugSdo4CYAg"/>
    <hyperlink ref="A58" r:id="rId63" tooltip="QUALCOMM, Inc." display="https://finance.google.com/finance?q=NASDAQ:QCOM&amp;ei=rkwNWpj6KNiyugSdo4CYAg"/>
    <hyperlink ref="B58" r:id="rId64" tooltip="QUALCOMM, Inc." display="https://finance.google.com/finance?q=NASDAQ:QCOM&amp;ei=rkwNWpj6KNiyugSdo4CYAg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17" sqref="E17"/>
    </sheetView>
  </sheetViews>
  <sheetFormatPr defaultRowHeight="14.4"/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0.23907752559675732</v>
      </c>
    </row>
    <row r="5" spans="1:9">
      <c r="A5" s="28" t="s">
        <v>81</v>
      </c>
      <c r="B5" s="28">
        <v>5.7158063245468155E-2</v>
      </c>
    </row>
    <row r="6" spans="1:9">
      <c r="A6" s="28" t="s">
        <v>82</v>
      </c>
      <c r="B6" s="28">
        <v>5.3111531328066737E-2</v>
      </c>
    </row>
    <row r="7" spans="1:9">
      <c r="A7" s="28" t="s">
        <v>83</v>
      </c>
      <c r="B7" s="28">
        <v>3.2440226207902143E-2</v>
      </c>
    </row>
    <row r="8" spans="1:9" ht="15" thickBot="1">
      <c r="A8" s="29" t="s">
        <v>84</v>
      </c>
      <c r="B8" s="29">
        <v>235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1.4864909934964338E-2</v>
      </c>
      <c r="D12" s="28">
        <v>1.4864909934964338E-2</v>
      </c>
      <c r="E12" s="28">
        <v>14.125197678453887</v>
      </c>
      <c r="F12" s="28">
        <v>2.1625002957922847E-4</v>
      </c>
    </row>
    <row r="13" spans="1:9">
      <c r="A13" s="28" t="s">
        <v>87</v>
      </c>
      <c r="B13" s="28">
        <v>233</v>
      </c>
      <c r="C13" s="28">
        <v>0.24520180840582759</v>
      </c>
      <c r="D13" s="28">
        <v>1.0523682764198609E-3</v>
      </c>
      <c r="E13" s="28"/>
      <c r="F13" s="28"/>
    </row>
    <row r="14" spans="1:9" ht="15" thickBot="1">
      <c r="A14" s="29" t="s">
        <v>88</v>
      </c>
      <c r="B14" s="29">
        <v>234</v>
      </c>
      <c r="C14" s="29">
        <v>0.26006671834079192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28">
        <v>5.8427085787955283E-3</v>
      </c>
      <c r="C17" s="28">
        <v>2.3712761821663405E-3</v>
      </c>
      <c r="D17" s="28">
        <v>2.4639511090006274</v>
      </c>
      <c r="E17" s="28">
        <v>1.4464990249296622E-2</v>
      </c>
      <c r="F17" s="28">
        <v>1.1708259381906626E-3</v>
      </c>
      <c r="G17" s="28">
        <v>1.0514591219400394E-2</v>
      </c>
      <c r="H17" s="28">
        <v>1.9267365040266573E-3</v>
      </c>
      <c r="I17" s="28">
        <v>9.7586806535643993E-3</v>
      </c>
    </row>
    <row r="18" spans="1:9" ht="15" thickBot="1">
      <c r="A18" s="29" t="s">
        <v>73</v>
      </c>
      <c r="B18" s="29">
        <v>1.8097732440138254</v>
      </c>
      <c r="C18" s="29">
        <v>0.48153393235059888</v>
      </c>
      <c r="D18" s="29">
        <v>3.7583503932515225</v>
      </c>
      <c r="E18" s="29">
        <v>2.1625002957922847E-4</v>
      </c>
      <c r="F18" s="29">
        <v>0.86105624667287606</v>
      </c>
      <c r="G18" s="29">
        <v>2.7584902413547749</v>
      </c>
      <c r="H18" s="29">
        <v>1.014558647620468</v>
      </c>
      <c r="I18" s="29">
        <v>2.6049878404071829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L20" sqref="L20"/>
    </sheetView>
  </sheetViews>
  <sheetFormatPr defaultRowHeight="14.4"/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0.60554060174114244</v>
      </c>
    </row>
    <row r="5" spans="1:9">
      <c r="A5" s="28" t="s">
        <v>81</v>
      </c>
      <c r="B5" s="28">
        <v>0.36667942035702483</v>
      </c>
    </row>
    <row r="6" spans="1:9">
      <c r="A6" s="28" t="s">
        <v>82</v>
      </c>
      <c r="B6" s="28">
        <v>0.36412570834233543</v>
      </c>
    </row>
    <row r="7" spans="1:9">
      <c r="A7" s="28" t="s">
        <v>83</v>
      </c>
      <c r="B7" s="28">
        <v>8.2960378016228176E-3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9.8822551094664667E-3</v>
      </c>
      <c r="D12" s="28">
        <v>9.8822551094664667E-3</v>
      </c>
      <c r="E12" s="28">
        <v>143.58683291139255</v>
      </c>
      <c r="F12" s="28">
        <v>2.091745782900531E-26</v>
      </c>
    </row>
    <row r="13" spans="1:9">
      <c r="A13" s="28" t="s">
        <v>87</v>
      </c>
      <c r="B13" s="28">
        <v>248</v>
      </c>
      <c r="C13" s="28">
        <v>1.7068412315076775E-2</v>
      </c>
      <c r="D13" s="28">
        <v>6.8824243205954742E-5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2.6950667424543242E-2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28">
        <v>1.7726804682701572E-3</v>
      </c>
      <c r="C17" s="28">
        <v>5.8932087774254472E-4</v>
      </c>
      <c r="D17" s="28">
        <v>3.0080055454009966</v>
      </c>
      <c r="E17" s="28">
        <v>2.9003761373356928E-3</v>
      </c>
      <c r="F17" s="28">
        <v>6.1196841529487646E-4</v>
      </c>
      <c r="G17" s="28">
        <v>2.9333925212454382E-3</v>
      </c>
      <c r="H17" s="28">
        <v>7.9969931561378377E-4</v>
      </c>
      <c r="I17" s="28">
        <v>2.7456616209265306E-3</v>
      </c>
    </row>
    <row r="18" spans="1:9" ht="15" thickBot="1">
      <c r="A18" s="29" t="s">
        <v>73</v>
      </c>
      <c r="B18" s="29">
        <v>1.4520456766668208</v>
      </c>
      <c r="C18" s="29">
        <v>0.12117777386343193</v>
      </c>
      <c r="D18" s="29">
        <v>11.982772338294355</v>
      </c>
      <c r="E18" s="29">
        <v>2.0917457829006507E-26</v>
      </c>
      <c r="F18" s="29">
        <v>1.2133768835047958</v>
      </c>
      <c r="G18" s="29">
        <v>1.6907144698288459</v>
      </c>
      <c r="H18" s="29">
        <v>1.2519786256883831</v>
      </c>
      <c r="I18" s="29">
        <v>1.6521127276452585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L14" sqref="L14"/>
    </sheetView>
  </sheetViews>
  <sheetFormatPr defaultRowHeight="14.4"/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0.47095167594625881</v>
      </c>
    </row>
    <row r="5" spans="1:9">
      <c r="A5" s="28" t="s">
        <v>81</v>
      </c>
      <c r="B5" s="28">
        <v>0.22179548107658997</v>
      </c>
    </row>
    <row r="6" spans="1:9">
      <c r="A6" s="28" t="s">
        <v>82</v>
      </c>
      <c r="B6" s="28">
        <v>0.21865755962931815</v>
      </c>
    </row>
    <row r="7" spans="1:9">
      <c r="A7" s="28" t="s">
        <v>83</v>
      </c>
      <c r="B7" s="28">
        <v>9.2008081989620391E-3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5.9836003763791556E-3</v>
      </c>
      <c r="D12" s="28">
        <v>5.9836003763791556E-3</v>
      </c>
      <c r="E12" s="28">
        <v>70.682292340180908</v>
      </c>
      <c r="F12" s="28">
        <v>3.3191614633194066E-15</v>
      </c>
    </row>
    <row r="13" spans="1:9">
      <c r="A13" s="28" t="s">
        <v>87</v>
      </c>
      <c r="B13" s="28">
        <v>248</v>
      </c>
      <c r="C13" s="28">
        <v>2.0994408135493595E-2</v>
      </c>
      <c r="D13" s="28">
        <v>8.4654871514087073E-5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2.697800851187275E-2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28">
        <v>8.0247895175295869E-4</v>
      </c>
      <c r="C17" s="28">
        <v>6.5359253337689098E-4</v>
      </c>
      <c r="D17" s="28">
        <v>1.2277970000771308</v>
      </c>
      <c r="E17" s="32">
        <v>0.22068724419472291</v>
      </c>
      <c r="F17" s="28">
        <v>-4.8482098937797143E-4</v>
      </c>
      <c r="G17" s="28">
        <v>2.0897788928838888E-3</v>
      </c>
      <c r="H17" s="28">
        <v>-2.7661605490734379E-4</v>
      </c>
      <c r="I17" s="28">
        <v>1.8815739584132612E-3</v>
      </c>
    </row>
    <row r="18" spans="1:9" ht="15" thickBot="1">
      <c r="A18" s="29" t="s">
        <v>73</v>
      </c>
      <c r="B18" s="29">
        <v>1.1298831655350288</v>
      </c>
      <c r="C18" s="29">
        <v>0.13439348782578309</v>
      </c>
      <c r="D18" s="29">
        <v>8.4072761546282546</v>
      </c>
      <c r="E18" s="29">
        <v>3.3191614633195021E-15</v>
      </c>
      <c r="F18" s="29">
        <v>0.86518502390747043</v>
      </c>
      <c r="G18" s="29">
        <v>1.394581307162587</v>
      </c>
      <c r="H18" s="29">
        <v>0.90799669310062336</v>
      </c>
      <c r="I18" s="29">
        <v>1.3517696379694342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L12" sqref="L12"/>
    </sheetView>
  </sheetViews>
  <sheetFormatPr defaultRowHeight="14.4"/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0.2837383895010403</v>
      </c>
    </row>
    <row r="5" spans="1:9">
      <c r="A5" s="28" t="s">
        <v>81</v>
      </c>
      <c r="B5" s="28">
        <v>8.0507473676644042E-2</v>
      </c>
    </row>
    <row r="6" spans="1:9">
      <c r="A6" s="28" t="s">
        <v>82</v>
      </c>
      <c r="B6" s="28">
        <v>7.6799842522114387E-2</v>
      </c>
    </row>
    <row r="7" spans="1:9">
      <c r="A7" s="28" t="s">
        <v>83</v>
      </c>
      <c r="B7" s="28">
        <v>1.5982824275305282E-2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5.5468538750746421E-3</v>
      </c>
      <c r="D12" s="28">
        <v>5.5468538750746421E-3</v>
      </c>
      <c r="E12" s="28">
        <v>21.713992120895579</v>
      </c>
      <c r="F12" s="28">
        <v>5.1684063540860267E-6</v>
      </c>
    </row>
    <row r="13" spans="1:9">
      <c r="A13" s="28" t="s">
        <v>87</v>
      </c>
      <c r="B13" s="28">
        <v>248</v>
      </c>
      <c r="C13" s="28">
        <v>6.3351766610191373E-2</v>
      </c>
      <c r="D13" s="28">
        <v>2.5545067181528781E-4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6.8898620485266016E-2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33">
        <v>1.9948799190595903E-3</v>
      </c>
      <c r="C17" s="28">
        <v>1.1353627184395511E-3</v>
      </c>
      <c r="D17" s="28">
        <v>1.7570419449754036</v>
      </c>
      <c r="E17" s="28">
        <v>8.0144647078854159E-2</v>
      </c>
      <c r="F17" s="28">
        <v>-2.4130284921369686E-4</v>
      </c>
      <c r="G17" s="28">
        <v>4.2310626873328771E-3</v>
      </c>
      <c r="H17" s="28">
        <v>1.2037221333905767E-4</v>
      </c>
      <c r="I17" s="28">
        <v>3.8693876247801228E-3</v>
      </c>
    </row>
    <row r="18" spans="1:9" ht="15" thickBot="1">
      <c r="A18" s="29" t="s">
        <v>73</v>
      </c>
      <c r="B18" s="29">
        <v>1.0878665173767692</v>
      </c>
      <c r="C18" s="29">
        <v>0.23345639352716749</v>
      </c>
      <c r="D18" s="29">
        <v>4.6598274775891859</v>
      </c>
      <c r="E18" s="29">
        <v>5.1684063540870245E-6</v>
      </c>
      <c r="F18" s="29">
        <v>0.62805648850230578</v>
      </c>
      <c r="G18" s="29">
        <v>1.5476765462512327</v>
      </c>
      <c r="H18" s="29">
        <v>0.7024251060030875</v>
      </c>
      <c r="I18" s="29">
        <v>1.4733079287504509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22" sqref="E22"/>
    </sheetView>
  </sheetViews>
  <sheetFormatPr defaultRowHeight="14.4"/>
  <cols>
    <col min="1" max="1" width="17.44140625" bestFit="1" customWidth="1"/>
    <col min="2" max="2" width="12" bestFit="1" customWidth="1"/>
    <col min="3" max="3" width="13.44140625" bestFit="1" customWidth="1"/>
    <col min="4" max="5" width="12" bestFit="1" customWidth="1"/>
    <col min="6" max="6" width="12.6640625" bestFit="1" customWidth="1"/>
    <col min="7" max="7" width="12" bestFit="1" customWidth="1"/>
    <col min="8" max="8" width="12.6640625" bestFit="1" customWidth="1"/>
    <col min="9" max="9" width="12.109375" bestFit="1" customWidth="1"/>
  </cols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0.4733693966009716</v>
      </c>
    </row>
    <row r="5" spans="1:9">
      <c r="A5" s="28" t="s">
        <v>81</v>
      </c>
      <c r="B5" s="28">
        <v>0.22407858563836797</v>
      </c>
    </row>
    <row r="6" spans="1:9">
      <c r="A6" s="28" t="s">
        <v>82</v>
      </c>
      <c r="B6" s="28">
        <v>0.22094987025787752</v>
      </c>
    </row>
    <row r="7" spans="1:9">
      <c r="A7" s="28" t="s">
        <v>83</v>
      </c>
      <c r="B7" s="28">
        <v>3.7861516986046596E-2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0.10266686929129404</v>
      </c>
      <c r="D12" s="28">
        <v>0.10266686929129404</v>
      </c>
      <c r="E12" s="28">
        <v>71.619996831812102</v>
      </c>
      <c r="F12" s="28">
        <v>2.294320298881236E-15</v>
      </c>
    </row>
    <row r="13" spans="1:9">
      <c r="A13" s="28" t="s">
        <v>87</v>
      </c>
      <c r="B13" s="28">
        <v>248</v>
      </c>
      <c r="C13" s="28">
        <v>0.35550662818420437</v>
      </c>
      <c r="D13" s="28">
        <v>1.433494468484695E-3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0.4581734974754984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28">
        <v>1.917905341351532E-3</v>
      </c>
      <c r="C17" s="28">
        <v>2.395092565669383E-3</v>
      </c>
      <c r="D17" s="28">
        <v>0.8007646004343526</v>
      </c>
      <c r="E17" s="28">
        <v>0.42403439992182768</v>
      </c>
      <c r="F17" s="28">
        <v>-2.7994106641717606E-3</v>
      </c>
      <c r="G17" s="28">
        <v>6.635221346874825E-3</v>
      </c>
      <c r="H17" s="28">
        <v>-2.0364428130706753E-3</v>
      </c>
      <c r="I17" s="28">
        <v>5.8722534957737398E-3</v>
      </c>
    </row>
    <row r="18" spans="1:9" ht="15" thickBot="1">
      <c r="A18" s="29" t="s">
        <v>73</v>
      </c>
      <c r="B18" s="40">
        <v>1.1664643816907452</v>
      </c>
      <c r="C18" s="29">
        <v>0.13783335686026593</v>
      </c>
      <c r="D18" s="29">
        <v>8.4628598494723963</v>
      </c>
      <c r="E18" s="41">
        <v>2.29432029888135E-15</v>
      </c>
      <c r="F18" s="29">
        <v>0.89499115776120708</v>
      </c>
      <c r="G18" s="29">
        <v>1.4379376056202833</v>
      </c>
      <c r="H18" s="29">
        <v>0.93889861319783452</v>
      </c>
      <c r="I18" s="29">
        <v>1.3940301501836558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17" sqref="E17"/>
    </sheetView>
  </sheetViews>
  <sheetFormatPr defaultRowHeight="14.4"/>
  <cols>
    <col min="1" max="1" width="17.44140625" bestFit="1" customWidth="1"/>
    <col min="2" max="2" width="12" bestFit="1" customWidth="1"/>
    <col min="3" max="3" width="13.44140625" bestFit="1" customWidth="1"/>
    <col min="4" max="5" width="12" bestFit="1" customWidth="1"/>
    <col min="6" max="6" width="12.6640625" bestFit="1" customWidth="1"/>
    <col min="7" max="7" width="12" bestFit="1" customWidth="1"/>
    <col min="8" max="9" width="12.109375" bestFit="1" customWidth="1"/>
  </cols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0.88160314049085409</v>
      </c>
    </row>
    <row r="5" spans="1:9">
      <c r="A5" s="28" t="s">
        <v>81</v>
      </c>
      <c r="B5" s="28">
        <v>0.77722409732333664</v>
      </c>
    </row>
    <row r="6" spans="1:9">
      <c r="A6" s="28" t="s">
        <v>82</v>
      </c>
      <c r="B6" s="28">
        <v>0.77632580739318879</v>
      </c>
    </row>
    <row r="7" spans="1:9">
      <c r="A7" s="28" t="s">
        <v>83</v>
      </c>
      <c r="B7" s="28">
        <v>9.7716171967911596E-3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8.2615705556238053E-2</v>
      </c>
      <c r="D12" s="28">
        <v>8.2615705556238053E-2</v>
      </c>
      <c r="E12" s="28">
        <v>865.22632753483583</v>
      </c>
      <c r="F12" s="28">
        <v>7.837274772025063E-83</v>
      </c>
    </row>
    <row r="13" spans="1:9">
      <c r="A13" s="28" t="s">
        <v>87</v>
      </c>
      <c r="B13" s="28">
        <v>248</v>
      </c>
      <c r="C13" s="28">
        <v>2.3680156654874929E-2</v>
      </c>
      <c r="D13" s="28">
        <v>9.5484502640624715E-5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0.10629586221111298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32">
        <v>1.1284302976806819E-3</v>
      </c>
      <c r="C17" s="28">
        <v>6.1814553577519977E-4</v>
      </c>
      <c r="D17" s="28">
        <v>1.8255090951446371</v>
      </c>
      <c r="E17" s="32">
        <v>6.9126871608055238E-2</v>
      </c>
      <c r="F17" s="28">
        <v>-8.9054099979814444E-5</v>
      </c>
      <c r="G17" s="28">
        <v>2.345914695341178E-3</v>
      </c>
      <c r="H17" s="28">
        <v>1.0785902891477734E-4</v>
      </c>
      <c r="I17" s="28">
        <v>2.1490015664465865E-3</v>
      </c>
    </row>
    <row r="18" spans="1:9" ht="15" thickBot="1">
      <c r="A18" s="29" t="s">
        <v>73</v>
      </c>
      <c r="B18" s="40">
        <v>1.0463756643363666</v>
      </c>
      <c r="C18" s="29">
        <v>3.5573186375062418E-2</v>
      </c>
      <c r="D18" s="29">
        <v>29.4147297715759</v>
      </c>
      <c r="E18" s="29">
        <v>7.8372747720270717E-83</v>
      </c>
      <c r="F18" s="29">
        <v>0.97631158253013994</v>
      </c>
      <c r="G18" s="29">
        <v>1.1164397461425934</v>
      </c>
      <c r="H18" s="29">
        <v>0.98764358612550596</v>
      </c>
      <c r="I18" s="29">
        <v>1.1051077425472273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E17" sqref="E17"/>
    </sheetView>
  </sheetViews>
  <sheetFormatPr defaultRowHeight="14.4"/>
  <cols>
    <col min="1" max="1" width="17.44140625" bestFit="1" customWidth="1"/>
    <col min="2" max="2" width="12" bestFit="1" customWidth="1"/>
    <col min="3" max="3" width="13.44140625" bestFit="1" customWidth="1"/>
    <col min="4" max="5" width="12" bestFit="1" customWidth="1"/>
    <col min="6" max="6" width="12.6640625" bestFit="1" customWidth="1"/>
    <col min="7" max="7" width="12" bestFit="1" customWidth="1"/>
    <col min="8" max="9" width="12.109375" bestFit="1" customWidth="1"/>
  </cols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0.78924984881913052</v>
      </c>
    </row>
    <row r="5" spans="1:9">
      <c r="A5" s="28" t="s">
        <v>81</v>
      </c>
      <c r="B5" s="28">
        <v>0.62291532386102033</v>
      </c>
    </row>
    <row r="6" spans="1:9">
      <c r="A6" s="28" t="s">
        <v>82</v>
      </c>
      <c r="B6" s="28">
        <v>0.6213948211346535</v>
      </c>
    </row>
    <row r="7" spans="1:9">
      <c r="A7" s="28" t="s">
        <v>83</v>
      </c>
      <c r="B7" s="28">
        <v>1.3980247505632344E-2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8.0070314063180492E-2</v>
      </c>
      <c r="D12" s="28">
        <v>8.0070314063180492E-2</v>
      </c>
      <c r="E12" s="28">
        <v>409.67721600173508</v>
      </c>
      <c r="F12" s="28">
        <v>1.9250329220332941E-54</v>
      </c>
    </row>
    <row r="13" spans="1:9">
      <c r="A13" s="28" t="s">
        <v>87</v>
      </c>
      <c r="B13" s="28">
        <v>248</v>
      </c>
      <c r="C13" s="28">
        <v>4.8470935439047368E-2</v>
      </c>
      <c r="D13" s="28">
        <v>1.9544732031873938E-4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0.12854124950222787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32">
        <v>1.1644903878908124E-3</v>
      </c>
      <c r="C17" s="28">
        <v>8.8438048795821034E-4</v>
      </c>
      <c r="D17" s="28">
        <v>1.3167300768691745</v>
      </c>
      <c r="E17" s="32">
        <v>0.18914459567546957</v>
      </c>
      <c r="F17" s="28">
        <v>-5.7736388973365091E-4</v>
      </c>
      <c r="G17" s="28">
        <v>2.9063446655152756E-3</v>
      </c>
      <c r="H17" s="28">
        <v>-2.9564038137119895E-4</v>
      </c>
      <c r="I17" s="28">
        <v>2.6246211571528235E-3</v>
      </c>
    </row>
    <row r="18" spans="1:9" ht="15" thickBot="1">
      <c r="A18" s="29" t="s">
        <v>73</v>
      </c>
      <c r="B18" s="40">
        <v>1.0301301267672975</v>
      </c>
      <c r="C18" s="29">
        <v>5.0894538751545995E-2</v>
      </c>
      <c r="D18" s="29">
        <v>20.240484579222283</v>
      </c>
      <c r="E18" s="29">
        <v>1.9250329220332941E-54</v>
      </c>
      <c r="F18" s="29">
        <v>0.92988948233972235</v>
      </c>
      <c r="G18" s="29">
        <v>1.1303707711948727</v>
      </c>
      <c r="H18" s="29">
        <v>0.94610217383258555</v>
      </c>
      <c r="I18" s="29">
        <v>1.1141580797020094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B18" sqref="B18"/>
    </sheetView>
  </sheetViews>
  <sheetFormatPr defaultRowHeight="14.4"/>
  <cols>
    <col min="1" max="1" width="17.44140625" bestFit="1" customWidth="1"/>
    <col min="2" max="2" width="12" bestFit="1" customWidth="1"/>
    <col min="3" max="3" width="13.44140625" bestFit="1" customWidth="1"/>
    <col min="4" max="5" width="12" bestFit="1" customWidth="1"/>
    <col min="6" max="6" width="12.6640625" bestFit="1" customWidth="1"/>
    <col min="7" max="7" width="12" bestFit="1" customWidth="1"/>
    <col min="8" max="8" width="12.6640625" bestFit="1" customWidth="1"/>
    <col min="9" max="9" width="12.109375" bestFit="1" customWidth="1"/>
  </cols>
  <sheetData>
    <row r="1" spans="1:9">
      <c r="A1" t="s">
        <v>78</v>
      </c>
    </row>
    <row r="2" spans="1:9" ht="15" thickBot="1"/>
    <row r="3" spans="1:9">
      <c r="A3" s="31" t="s">
        <v>79</v>
      </c>
      <c r="B3" s="31"/>
    </row>
    <row r="4" spans="1:9">
      <c r="A4" s="28" t="s">
        <v>80</v>
      </c>
      <c r="B4" s="28">
        <v>0.8414510975440348</v>
      </c>
    </row>
    <row r="5" spans="1:9">
      <c r="A5" s="28" t="s">
        <v>81</v>
      </c>
      <c r="B5" s="28">
        <v>0.70803994955806071</v>
      </c>
    </row>
    <row r="6" spans="1:9">
      <c r="A6" s="28" t="s">
        <v>82</v>
      </c>
      <c r="B6" s="28">
        <v>0.70686269129014956</v>
      </c>
    </row>
    <row r="7" spans="1:9">
      <c r="A7" s="28" t="s">
        <v>83</v>
      </c>
      <c r="B7" s="28">
        <v>1.251830878672173E-2</v>
      </c>
    </row>
    <row r="8" spans="1:9" ht="15" thickBot="1">
      <c r="A8" s="29" t="s">
        <v>84</v>
      </c>
      <c r="B8" s="29">
        <v>250</v>
      </c>
    </row>
    <row r="10" spans="1:9" ht="15" thickBot="1">
      <c r="A10" t="s">
        <v>85</v>
      </c>
    </row>
    <row r="11" spans="1:9">
      <c r="A11" s="30"/>
      <c r="B11" s="30" t="s">
        <v>90</v>
      </c>
      <c r="C11" s="30" t="s">
        <v>91</v>
      </c>
      <c r="D11" s="30" t="s">
        <v>92</v>
      </c>
      <c r="E11" s="30" t="s">
        <v>93</v>
      </c>
      <c r="F11" s="30" t="s">
        <v>94</v>
      </c>
    </row>
    <row r="12" spans="1:9">
      <c r="A12" s="28" t="s">
        <v>86</v>
      </c>
      <c r="B12" s="28">
        <v>1</v>
      </c>
      <c r="C12" s="28">
        <v>9.4249126378408848E-2</v>
      </c>
      <c r="D12" s="28">
        <v>9.4249126378408848E-2</v>
      </c>
      <c r="E12" s="28">
        <v>601.43128220659958</v>
      </c>
      <c r="F12" s="28">
        <v>3.0105056272372314E-68</v>
      </c>
    </row>
    <row r="13" spans="1:9">
      <c r="A13" s="28" t="s">
        <v>87</v>
      </c>
      <c r="B13" s="28">
        <v>248</v>
      </c>
      <c r="C13" s="28">
        <v>3.8863597610169186E-2</v>
      </c>
      <c r="D13" s="28">
        <v>1.5670805487971447E-4</v>
      </c>
      <c r="E13" s="28"/>
      <c r="F13" s="28"/>
    </row>
    <row r="14" spans="1:9" ht="15" thickBot="1">
      <c r="A14" s="29" t="s">
        <v>88</v>
      </c>
      <c r="B14" s="29">
        <v>249</v>
      </c>
      <c r="C14" s="29">
        <v>0.13311272398857804</v>
      </c>
      <c r="D14" s="29"/>
      <c r="E14" s="29"/>
      <c r="F14" s="29"/>
    </row>
    <row r="15" spans="1:9" ht="15" thickBot="1"/>
    <row r="16" spans="1:9">
      <c r="A16" s="30"/>
      <c r="B16" s="30" t="s">
        <v>95</v>
      </c>
      <c r="C16" s="30" t="s">
        <v>83</v>
      </c>
      <c r="D16" s="30" t="s">
        <v>96</v>
      </c>
      <c r="E16" s="30" t="s">
        <v>97</v>
      </c>
      <c r="F16" s="30" t="s">
        <v>98</v>
      </c>
      <c r="G16" s="30" t="s">
        <v>99</v>
      </c>
      <c r="H16" s="30" t="s">
        <v>100</v>
      </c>
      <c r="I16" s="30" t="s">
        <v>101</v>
      </c>
    </row>
    <row r="17" spans="1:9">
      <c r="A17" s="28" t="s">
        <v>89</v>
      </c>
      <c r="B17" s="28">
        <v>7.4258627951131616E-4</v>
      </c>
      <c r="C17" s="28">
        <v>7.9189928710148125E-4</v>
      </c>
      <c r="D17" s="28">
        <v>0.93772818287201509</v>
      </c>
      <c r="E17" s="28">
        <v>0.34929643338702732</v>
      </c>
      <c r="F17" s="28">
        <v>-8.171192764876282E-4</v>
      </c>
      <c r="G17" s="28">
        <v>2.3022918355102605E-3</v>
      </c>
      <c r="H17" s="28">
        <v>-5.6485608381246812E-4</v>
      </c>
      <c r="I17" s="28">
        <v>2.0500286428351004E-3</v>
      </c>
    </row>
    <row r="18" spans="1:9" ht="15" thickBot="1">
      <c r="A18" s="29" t="s">
        <v>73</v>
      </c>
      <c r="B18" s="40">
        <v>1.1176221212069943</v>
      </c>
      <c r="C18" s="29">
        <v>4.5572408599557933E-2</v>
      </c>
      <c r="D18" s="29">
        <v>24.524095950852061</v>
      </c>
      <c r="E18" s="29">
        <v>3.0105056272377462E-68</v>
      </c>
      <c r="F18" s="29">
        <v>1.0278638147522041</v>
      </c>
      <c r="G18" s="29">
        <v>1.2073804276617845</v>
      </c>
      <c r="H18" s="29">
        <v>1.0423811169880732</v>
      </c>
      <c r="I18" s="29">
        <v>1.1928631254259154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51"/>
  <sheetViews>
    <sheetView workbookViewId="0">
      <selection activeCell="T2" sqref="T2:T251"/>
    </sheetView>
  </sheetViews>
  <sheetFormatPr defaultRowHeight="14.4"/>
  <cols>
    <col min="1" max="1" width="10.5546875" bestFit="1" customWidth="1"/>
    <col min="2" max="2" width="7.21875" bestFit="1" customWidth="1"/>
    <col min="3" max="3" width="10.6640625" bestFit="1" customWidth="1"/>
    <col min="4" max="4" width="8.109375" bestFit="1" customWidth="1"/>
    <col min="5" max="5" width="8.109375" customWidth="1"/>
    <col min="6" max="6" width="6.6640625" bestFit="1" customWidth="1"/>
    <col min="7" max="7" width="6.6640625" customWidth="1"/>
    <col min="8" max="8" width="6.6640625" bestFit="1" customWidth="1"/>
    <col min="9" max="9" width="7.6640625" bestFit="1" customWidth="1"/>
    <col min="10" max="10" width="5.44140625" bestFit="1" customWidth="1"/>
    <col min="11" max="11" width="9.5546875" customWidth="1"/>
  </cols>
  <sheetData>
    <row r="1" spans="1:20">
      <c r="A1" t="s">
        <v>0</v>
      </c>
      <c r="B1" t="s">
        <v>71</v>
      </c>
      <c r="C1" t="s">
        <v>72</v>
      </c>
      <c r="D1" t="s">
        <v>36</v>
      </c>
      <c r="E1" t="s">
        <v>74</v>
      </c>
      <c r="F1" t="s">
        <v>38</v>
      </c>
      <c r="G1" t="s">
        <v>75</v>
      </c>
      <c r="H1" t="s">
        <v>34</v>
      </c>
      <c r="I1" t="s">
        <v>76</v>
      </c>
      <c r="J1" t="s">
        <v>17</v>
      </c>
      <c r="K1" t="s">
        <v>77</v>
      </c>
      <c r="L1" t="s">
        <v>73</v>
      </c>
      <c r="M1" t="s">
        <v>32</v>
      </c>
      <c r="N1" t="s">
        <v>102</v>
      </c>
      <c r="O1" t="s">
        <v>48</v>
      </c>
      <c r="P1" t="s">
        <v>103</v>
      </c>
      <c r="Q1" t="s">
        <v>56</v>
      </c>
      <c r="R1" t="s">
        <v>104</v>
      </c>
      <c r="S1" t="s">
        <v>1</v>
      </c>
      <c r="T1" t="s">
        <v>105</v>
      </c>
    </row>
    <row r="2" spans="1:20">
      <c r="A2" s="1">
        <v>42682</v>
      </c>
      <c r="B2">
        <v>3.771974424148256E-3</v>
      </c>
      <c r="C2" s="2">
        <v>1.859956236323853E-2</v>
      </c>
      <c r="D2" s="2">
        <v>-1.5432670699125138E-3</v>
      </c>
      <c r="E2" s="2">
        <f>D2-C2</f>
        <v>-2.0142829433151044E-2</v>
      </c>
      <c r="F2" s="2">
        <v>1.1882249997830868E-2</v>
      </c>
      <c r="G2" s="2">
        <f>F2-C2</f>
        <v>-6.7173123654076621E-3</v>
      </c>
      <c r="H2" s="2">
        <v>1.4415256374577467E-3</v>
      </c>
      <c r="I2" s="2">
        <f>H2-C2</f>
        <v>-1.7158036725780784E-2</v>
      </c>
      <c r="J2">
        <v>5.0327127334214945E-3</v>
      </c>
      <c r="K2" s="27">
        <f>J2-C2</f>
        <v>-1.3566849629817034E-2</v>
      </c>
      <c r="L2" s="27">
        <f>(B2-C2)</f>
        <v>-1.4827587939090274E-2</v>
      </c>
      <c r="M2" s="2">
        <v>5.7471264367816143E-3</v>
      </c>
      <c r="N2" s="27">
        <f>M2-C2</f>
        <v>-1.2852435926456915E-2</v>
      </c>
      <c r="O2" s="2">
        <v>5.8869742070348135E-3</v>
      </c>
      <c r="P2" s="27">
        <f>O2-C2</f>
        <v>-1.2712588156203717E-2</v>
      </c>
      <c r="Q2" s="2">
        <v>2.2601864385261974E-4</v>
      </c>
      <c r="R2" s="27">
        <f>Q2-C2</f>
        <v>-1.8373543719385911E-2</v>
      </c>
      <c r="S2" s="2">
        <v>3.5926860040370917E-3</v>
      </c>
      <c r="T2" s="27">
        <f>S2-C2</f>
        <v>-1.5006876359201438E-2</v>
      </c>
    </row>
    <row r="3" spans="1:20">
      <c r="A3" s="1">
        <v>42683</v>
      </c>
      <c r="B3">
        <v>1.1077020670818222E-2</v>
      </c>
      <c r="C3" s="2">
        <v>0.11278195488721802</v>
      </c>
      <c r="D3" s="2">
        <v>-1.6863458478977446E-2</v>
      </c>
      <c r="E3" s="2">
        <f t="shared" ref="E3:E66" si="0">D3-C3</f>
        <v>-0.12964541336619548</v>
      </c>
      <c r="F3" s="2">
        <v>-5.7285428877963673E-4</v>
      </c>
      <c r="G3" s="2">
        <f t="shared" ref="G3:G66" si="1">F3-C3</f>
        <v>-0.11335480917599766</v>
      </c>
      <c r="H3" s="2">
        <v>2.8771252616871241E-4</v>
      </c>
      <c r="I3" s="2">
        <f t="shared" ref="I3:I66" si="2">H3-C3</f>
        <v>-0.11249424236104931</v>
      </c>
      <c r="J3">
        <v>-3.1847772295398473E-2</v>
      </c>
      <c r="K3" s="27">
        <f t="shared" ref="K3:K66" si="3">J3-C3</f>
        <v>-0.14462972718261649</v>
      </c>
      <c r="L3" s="27">
        <f t="shared" ref="L3:L66" si="4">(B3-C3)</f>
        <v>-0.1017049342163998</v>
      </c>
      <c r="M3" s="2">
        <v>-8.5714285714285163E-3</v>
      </c>
      <c r="N3" s="27">
        <f t="shared" ref="N3:N66" si="5">M3-C3</f>
        <v>-0.12135338345864655</v>
      </c>
      <c r="O3" s="2">
        <v>-1.6206336797630156E-3</v>
      </c>
      <c r="P3" s="27">
        <f t="shared" ref="P3:P66" si="6">O3-C3</f>
        <v>-0.11440258856698104</v>
      </c>
      <c r="Q3" s="2">
        <v>-2.0226091890255777E-2</v>
      </c>
      <c r="R3" s="27">
        <f t="shared" ref="R3:R66" si="7">Q3-C3</f>
        <v>-0.1330080467774738</v>
      </c>
      <c r="S3" s="2">
        <v>-2.0145979054268508E-2</v>
      </c>
      <c r="T3" s="27">
        <f t="shared" ref="T3:T66" si="8">S3-C3</f>
        <v>-0.13292793394148653</v>
      </c>
    </row>
    <row r="4" spans="1:20">
      <c r="A4" s="1">
        <v>42684</v>
      </c>
      <c r="B4">
        <v>1.9507456248868129E-3</v>
      </c>
      <c r="C4" s="2">
        <v>2.1718146718146682E-2</v>
      </c>
      <c r="D4" s="2">
        <v>-3.1303758897046383E-2</v>
      </c>
      <c r="E4" s="2">
        <f t="shared" si="0"/>
        <v>-5.3021905615193064E-2</v>
      </c>
      <c r="F4" s="2">
        <v>-9.3136743166725589E-3</v>
      </c>
      <c r="G4" s="2">
        <f t="shared" si="1"/>
        <v>-3.1031821034819239E-2</v>
      </c>
      <c r="H4" s="2">
        <v>-7.1942656803056669E-3</v>
      </c>
      <c r="I4" s="2">
        <f t="shared" si="2"/>
        <v>-2.8912412398452349E-2</v>
      </c>
      <c r="J4">
        <v>-2.4102638338732635E-2</v>
      </c>
      <c r="K4" s="27">
        <f t="shared" si="3"/>
        <v>-4.5820785056879317E-2</v>
      </c>
      <c r="L4" s="27">
        <f t="shared" si="4"/>
        <v>-1.9767401093259869E-2</v>
      </c>
      <c r="M4" s="2">
        <v>-9.221902017291074E-2</v>
      </c>
      <c r="N4" s="27">
        <f t="shared" si="5"/>
        <v>-0.11393716689105743</v>
      </c>
      <c r="O4" s="2">
        <v>-2.7868062480325313E-2</v>
      </c>
      <c r="P4" s="27">
        <f t="shared" si="6"/>
        <v>-4.9586209198471995E-2</v>
      </c>
      <c r="Q4" s="2">
        <v>-3.1599570806808031E-2</v>
      </c>
      <c r="R4" s="27">
        <f t="shared" si="7"/>
        <v>-5.3317717524954712E-2</v>
      </c>
      <c r="S4" s="2">
        <v>-3.8218375665787584E-2</v>
      </c>
      <c r="T4" s="27">
        <f t="shared" si="8"/>
        <v>-5.9936522383934265E-2</v>
      </c>
    </row>
    <row r="5" spans="1:20">
      <c r="A5" s="1">
        <v>42685</v>
      </c>
      <c r="B5">
        <v>-1.3979501669953202E-3</v>
      </c>
      <c r="C5" s="2">
        <v>4.959848842701936E-2</v>
      </c>
      <c r="D5" s="2">
        <v>0.29806714303267273</v>
      </c>
      <c r="E5" s="2">
        <f t="shared" si="0"/>
        <v>0.24846865460565337</v>
      </c>
      <c r="F5" s="2">
        <v>1.0268987442900921E-2</v>
      </c>
      <c r="G5" s="2">
        <f t="shared" si="1"/>
        <v>-3.9329500984118443E-2</v>
      </c>
      <c r="H5" s="2">
        <v>3.1884044752713398E-3</v>
      </c>
      <c r="I5" s="2">
        <f t="shared" si="2"/>
        <v>-4.6410083951748018E-2</v>
      </c>
      <c r="J5">
        <v>-1.4309922167052024E-2</v>
      </c>
      <c r="K5" s="27">
        <f t="shared" si="3"/>
        <v>-6.3908410594071388E-2</v>
      </c>
      <c r="L5" s="27">
        <f t="shared" si="4"/>
        <v>-5.0996438594014683E-2</v>
      </c>
      <c r="M5" s="2">
        <v>6.1904761904761997E-2</v>
      </c>
      <c r="N5" s="27">
        <f t="shared" si="5"/>
        <v>1.2306273477742637E-2</v>
      </c>
      <c r="O5" s="2">
        <v>5.9375083689527913E-3</v>
      </c>
      <c r="P5" s="27">
        <f t="shared" si="6"/>
        <v>-4.3660980058066567E-2</v>
      </c>
      <c r="Q5" s="2">
        <v>-2.381756460935777E-3</v>
      </c>
      <c r="R5" s="27">
        <f t="shared" si="7"/>
        <v>-5.1980244887955135E-2</v>
      </c>
      <c r="S5" s="2">
        <v>-4.5394474222133947E-3</v>
      </c>
      <c r="T5" s="27">
        <f t="shared" si="8"/>
        <v>-5.4137935849232752E-2</v>
      </c>
    </row>
    <row r="6" spans="1:20">
      <c r="A6" s="1">
        <v>42688</v>
      </c>
      <c r="B6">
        <v>-1.1550278623190026E-4</v>
      </c>
      <c r="C6" s="2">
        <v>7.2007200720072074E-3</v>
      </c>
      <c r="D6" s="2">
        <v>-4.922139498502405E-2</v>
      </c>
      <c r="E6" s="2">
        <f t="shared" si="0"/>
        <v>-5.6422115057031257E-2</v>
      </c>
      <c r="F6" s="2">
        <v>2.4336989792282382E-3</v>
      </c>
      <c r="G6" s="2">
        <f t="shared" si="1"/>
        <v>-4.7670210927789692E-3</v>
      </c>
      <c r="H6" s="2">
        <v>-3.7560653641357249E-3</v>
      </c>
      <c r="I6" s="2">
        <f t="shared" si="2"/>
        <v>-1.0956785436142933E-2</v>
      </c>
      <c r="J6">
        <v>-3.4627390786695106E-2</v>
      </c>
      <c r="K6" s="27">
        <f t="shared" si="3"/>
        <v>-4.1828110858702312E-2</v>
      </c>
      <c r="L6" s="27">
        <f t="shared" si="4"/>
        <v>-7.3162228582391072E-3</v>
      </c>
      <c r="M6" s="2">
        <v>1.4947683109118032E-2</v>
      </c>
      <c r="N6" s="27">
        <f t="shared" si="5"/>
        <v>7.7469630371108248E-3</v>
      </c>
      <c r="O6" s="2">
        <v>-2.5085345928951622E-2</v>
      </c>
      <c r="P6" s="27">
        <f t="shared" si="6"/>
        <v>-3.2286066000958832E-2</v>
      </c>
      <c r="Q6" s="2">
        <v>-2.2442456973810816E-2</v>
      </c>
      <c r="R6" s="27">
        <f t="shared" si="7"/>
        <v>-2.9643177045818023E-2</v>
      </c>
      <c r="S6" s="2">
        <v>-2.6982047239116468E-2</v>
      </c>
      <c r="T6" s="27">
        <f t="shared" si="8"/>
        <v>-3.4182767311123678E-2</v>
      </c>
    </row>
    <row r="7" spans="1:20">
      <c r="A7" s="1">
        <v>42689</v>
      </c>
      <c r="B7">
        <v>7.4807976927081877E-3</v>
      </c>
      <c r="C7" s="2">
        <v>-6.7024128686327634E-3</v>
      </c>
      <c r="D7" s="2">
        <v>3.0487836666452793E-2</v>
      </c>
      <c r="E7" s="2">
        <f t="shared" si="0"/>
        <v>3.7190249535085554E-2</v>
      </c>
      <c r="F7" s="2">
        <v>1.4424532816676118E-2</v>
      </c>
      <c r="G7" s="2">
        <f t="shared" si="1"/>
        <v>2.112694568530888E-2</v>
      </c>
      <c r="H7" s="2">
        <v>1.2470983460139837E-2</v>
      </c>
      <c r="I7" s="2">
        <f t="shared" si="2"/>
        <v>1.9173396328772602E-2</v>
      </c>
      <c r="J7">
        <v>1.3701715953048281E-2</v>
      </c>
      <c r="K7" s="27">
        <f t="shared" si="3"/>
        <v>2.0404128821681043E-2</v>
      </c>
      <c r="L7" s="27">
        <f t="shared" si="4"/>
        <v>1.4183210561340951E-2</v>
      </c>
      <c r="M7" s="2">
        <v>2.6509572901325437E-2</v>
      </c>
      <c r="N7" s="27">
        <f t="shared" si="5"/>
        <v>3.3211985769958201E-2</v>
      </c>
      <c r="O7" s="2">
        <v>1.3243800425579381E-2</v>
      </c>
      <c r="P7" s="27">
        <f t="shared" si="6"/>
        <v>1.9946213294212145E-2</v>
      </c>
      <c r="Q7" s="2">
        <v>1.6302415674447037E-2</v>
      </c>
      <c r="R7" s="27">
        <f t="shared" si="7"/>
        <v>2.3004828543079801E-2</v>
      </c>
      <c r="S7" s="2">
        <v>3.3612837087780248E-2</v>
      </c>
      <c r="T7" s="27">
        <f t="shared" si="8"/>
        <v>4.0315249956413009E-2</v>
      </c>
    </row>
    <row r="8" spans="1:20">
      <c r="A8" s="1">
        <v>42690</v>
      </c>
      <c r="B8">
        <v>-1.5822638011099694E-3</v>
      </c>
      <c r="C8" s="2">
        <v>2.3841655420602761E-2</v>
      </c>
      <c r="D8" s="2">
        <v>6.3116417573896216E-2</v>
      </c>
      <c r="E8" s="2">
        <f t="shared" si="0"/>
        <v>3.9274762153293452E-2</v>
      </c>
      <c r="F8" s="2">
        <v>2.3933841613396033E-3</v>
      </c>
      <c r="G8" s="2">
        <f t="shared" si="1"/>
        <v>-2.1448271259263157E-2</v>
      </c>
      <c r="H8" s="2">
        <v>-2.0050346638678424E-3</v>
      </c>
      <c r="I8" s="2">
        <f t="shared" si="2"/>
        <v>-2.5846690084470603E-2</v>
      </c>
      <c r="J8">
        <v>2.0439571428571394E-2</v>
      </c>
      <c r="K8" s="27">
        <f t="shared" si="3"/>
        <v>-3.402083992031367E-3</v>
      </c>
      <c r="L8" s="27">
        <f t="shared" si="4"/>
        <v>-2.5423919221712731E-2</v>
      </c>
      <c r="M8" s="2">
        <v>0.1004304160688666</v>
      </c>
      <c r="N8" s="27">
        <f t="shared" si="5"/>
        <v>7.6588760648263837E-2</v>
      </c>
      <c r="O8" s="2">
        <v>2.6888172512737184E-2</v>
      </c>
      <c r="P8" s="27">
        <f t="shared" si="6"/>
        <v>3.0465170921344237E-3</v>
      </c>
      <c r="Q8" s="2">
        <v>8.2907712906434249E-3</v>
      </c>
      <c r="R8" s="27">
        <f t="shared" si="7"/>
        <v>-1.5550884129959336E-2</v>
      </c>
      <c r="S8" s="2">
        <v>4.3727464126358433E-3</v>
      </c>
      <c r="T8" s="27">
        <f t="shared" si="8"/>
        <v>-1.9468909007966918E-2</v>
      </c>
    </row>
    <row r="9" spans="1:20">
      <c r="A9" s="1">
        <v>42691</v>
      </c>
      <c r="B9">
        <v>4.6763697097327714E-3</v>
      </c>
      <c r="C9" s="2">
        <v>2.5922671353251391E-2</v>
      </c>
      <c r="D9" s="2">
        <v>8.2942601354107186E-3</v>
      </c>
      <c r="E9" s="2">
        <f t="shared" si="0"/>
        <v>-1.7628411217840673E-2</v>
      </c>
      <c r="F9" s="2">
        <v>1.2359635133679743E-2</v>
      </c>
      <c r="G9" s="2">
        <f t="shared" si="1"/>
        <v>-1.3563036219571648E-2</v>
      </c>
      <c r="H9" s="2">
        <v>5.1663514946591032E-3</v>
      </c>
      <c r="I9" s="2">
        <f t="shared" si="2"/>
        <v>-2.075631985859229E-2</v>
      </c>
      <c r="J9">
        <v>1.3030357387138045E-2</v>
      </c>
      <c r="K9" s="27">
        <f t="shared" si="3"/>
        <v>-1.2892313966113346E-2</v>
      </c>
      <c r="L9" s="27">
        <f t="shared" si="4"/>
        <v>-2.1246301643518619E-2</v>
      </c>
      <c r="M9" s="2">
        <v>0.10299869621903532</v>
      </c>
      <c r="N9" s="27">
        <f t="shared" si="5"/>
        <v>7.7076024865783924E-2</v>
      </c>
      <c r="O9" s="2">
        <v>-3.6360533423425288E-4</v>
      </c>
      <c r="P9" s="27">
        <f t="shared" si="6"/>
        <v>-2.6286276687485646E-2</v>
      </c>
      <c r="Q9" s="2">
        <v>-4.7072702826753687E-3</v>
      </c>
      <c r="R9" s="27">
        <f t="shared" si="7"/>
        <v>-3.062994163592676E-2</v>
      </c>
      <c r="S9" s="2">
        <v>1.3275508222153114E-2</v>
      </c>
      <c r="T9" s="27">
        <f t="shared" si="8"/>
        <v>-1.2647163131098278E-2</v>
      </c>
    </row>
    <row r="10" spans="1:20">
      <c r="A10" s="1">
        <v>42692</v>
      </c>
      <c r="B10">
        <v>-2.386798493335712E-3</v>
      </c>
      <c r="C10" s="2">
        <v>1.7130620985010721E-3</v>
      </c>
      <c r="D10" s="2">
        <v>1.0498978280341997E-2</v>
      </c>
      <c r="E10" s="2">
        <f t="shared" si="0"/>
        <v>8.7859161818409255E-3</v>
      </c>
      <c r="F10" s="2">
        <v>7.2141297669705605E-3</v>
      </c>
      <c r="G10" s="2">
        <f t="shared" si="1"/>
        <v>5.5010676684694882E-3</v>
      </c>
      <c r="H10" s="2">
        <v>-1.9988541817184133E-3</v>
      </c>
      <c r="I10" s="2">
        <f t="shared" si="2"/>
        <v>-3.7119162802194856E-3</v>
      </c>
      <c r="J10">
        <v>-7.2286701392578947E-3</v>
      </c>
      <c r="K10" s="27">
        <f t="shared" si="3"/>
        <v>-8.9417322377589661E-3</v>
      </c>
      <c r="L10" s="27">
        <f t="shared" si="4"/>
        <v>-4.0998605918367839E-3</v>
      </c>
      <c r="M10" s="2">
        <v>2.9550827423167846E-2</v>
      </c>
      <c r="N10" s="27">
        <f t="shared" si="5"/>
        <v>2.7837765324666773E-2</v>
      </c>
      <c r="O10" s="2">
        <v>1.0004724430099743E-3</v>
      </c>
      <c r="P10" s="27">
        <f t="shared" si="6"/>
        <v>-7.1258965549109783E-4</v>
      </c>
      <c r="Q10" s="2">
        <v>6.7050808640095041E-3</v>
      </c>
      <c r="R10" s="27">
        <f t="shared" si="7"/>
        <v>4.9920187655084318E-3</v>
      </c>
      <c r="S10" s="2">
        <v>4.9708472774982436E-3</v>
      </c>
      <c r="T10" s="27">
        <f t="shared" si="8"/>
        <v>3.2577851789971713E-3</v>
      </c>
    </row>
    <row r="11" spans="1:20">
      <c r="A11" s="1">
        <v>42695</v>
      </c>
      <c r="B11">
        <v>7.4614009492722805E-3</v>
      </c>
      <c r="C11" s="2">
        <v>-7.6955964087215877E-3</v>
      </c>
      <c r="D11" s="2">
        <v>-4.070244179783261E-3</v>
      </c>
      <c r="E11" s="2">
        <f t="shared" si="0"/>
        <v>3.6253522289383267E-3</v>
      </c>
      <c r="F11" s="2">
        <v>1.4876127035649826E-2</v>
      </c>
      <c r="G11" s="2">
        <f t="shared" si="1"/>
        <v>2.2571723444371413E-2</v>
      </c>
      <c r="H11" s="2">
        <v>8.5839276275019008E-4</v>
      </c>
      <c r="I11" s="2">
        <f t="shared" si="2"/>
        <v>8.5539891714717774E-3</v>
      </c>
      <c r="J11">
        <v>2.1420923240397086E-4</v>
      </c>
      <c r="K11" s="27">
        <f t="shared" si="3"/>
        <v>7.9098056411255578E-3</v>
      </c>
      <c r="L11" s="27">
        <f t="shared" si="4"/>
        <v>1.5156997357993869E-2</v>
      </c>
      <c r="M11" s="2">
        <v>2.6406429391503859E-2</v>
      </c>
      <c r="N11" s="27">
        <f t="shared" si="5"/>
        <v>3.4102025800225449E-2</v>
      </c>
      <c r="O11" s="2">
        <v>1.517354369588588E-2</v>
      </c>
      <c r="P11" s="27">
        <f t="shared" si="6"/>
        <v>2.2869140104607468E-2</v>
      </c>
      <c r="Q11" s="2">
        <v>2.6284576785060805E-2</v>
      </c>
      <c r="R11" s="27">
        <f t="shared" si="7"/>
        <v>3.3980173193782395E-2</v>
      </c>
      <c r="S11" s="2">
        <v>2.609980491566867E-2</v>
      </c>
      <c r="T11" s="27">
        <f t="shared" si="8"/>
        <v>3.379540132439026E-2</v>
      </c>
    </row>
    <row r="12" spans="1:20">
      <c r="A12" s="1">
        <v>42696</v>
      </c>
      <c r="B12">
        <v>2.1654319242507222E-3</v>
      </c>
      <c r="C12" s="2">
        <v>1.5510555794915996E-2</v>
      </c>
      <c r="D12" s="2">
        <v>7.205827931057833E-3</v>
      </c>
      <c r="E12" s="2">
        <f t="shared" si="0"/>
        <v>-8.3047278638581634E-3</v>
      </c>
      <c r="F12" s="2">
        <v>9.772019968624767E-3</v>
      </c>
      <c r="G12" s="2">
        <f t="shared" si="1"/>
        <v>-5.7385358262912294E-3</v>
      </c>
      <c r="H12" s="2">
        <v>1.4293981973132025E-2</v>
      </c>
      <c r="I12" s="2">
        <f t="shared" si="2"/>
        <v>-1.216573821783971E-3</v>
      </c>
      <c r="J12">
        <v>-2.1411518192420206E-3</v>
      </c>
      <c r="K12" s="27">
        <f t="shared" si="3"/>
        <v>-1.7651707614158019E-2</v>
      </c>
      <c r="L12" s="27">
        <f t="shared" si="4"/>
        <v>-1.3345123870665275E-2</v>
      </c>
      <c r="M12" s="2">
        <v>-2.7964205816554812E-2</v>
      </c>
      <c r="N12" s="27">
        <f t="shared" si="5"/>
        <v>-4.3474761611470805E-2</v>
      </c>
      <c r="O12" s="2">
        <v>6.2652719071988432E-4</v>
      </c>
      <c r="P12" s="27">
        <f t="shared" si="6"/>
        <v>-1.4884028604196112E-2</v>
      </c>
      <c r="Q12" s="2">
        <v>2.5727225356267612E-2</v>
      </c>
      <c r="R12" s="27">
        <f t="shared" si="7"/>
        <v>1.0216669561351616E-2</v>
      </c>
      <c r="S12" s="2">
        <v>6.8333551282051255E-3</v>
      </c>
      <c r="T12" s="27">
        <f t="shared" si="8"/>
        <v>-8.67720066671087E-3</v>
      </c>
    </row>
    <row r="13" spans="1:20">
      <c r="A13" s="1">
        <v>42697</v>
      </c>
      <c r="B13">
        <v>8.080247522280939E-4</v>
      </c>
      <c r="C13" s="2">
        <v>6.3640220619430119E-3</v>
      </c>
      <c r="D13" s="2">
        <v>4.9192690862204565E-3</v>
      </c>
      <c r="E13" s="2">
        <f t="shared" si="0"/>
        <v>-1.4447529757225554E-3</v>
      </c>
      <c r="F13" s="2">
        <v>-4.5700440309114536E-3</v>
      </c>
      <c r="G13" s="2">
        <f t="shared" si="1"/>
        <v>-1.0934066092854466E-2</v>
      </c>
      <c r="H13" s="2">
        <v>-7.8917837347575372E-3</v>
      </c>
      <c r="I13" s="2">
        <f t="shared" si="2"/>
        <v>-1.4255805796700549E-2</v>
      </c>
      <c r="J13">
        <v>-1.9311232907533087E-3</v>
      </c>
      <c r="K13" s="27">
        <f t="shared" si="3"/>
        <v>-8.2951453526963204E-3</v>
      </c>
      <c r="L13" s="27">
        <f t="shared" si="4"/>
        <v>-5.5559973097149178E-3</v>
      </c>
      <c r="M13" s="2">
        <v>1.2658227848101406E-2</v>
      </c>
      <c r="N13" s="27">
        <f t="shared" si="5"/>
        <v>6.2942057861583942E-3</v>
      </c>
      <c r="O13" s="2">
        <v>-5.0983543650883513E-3</v>
      </c>
      <c r="P13" s="27">
        <f t="shared" si="6"/>
        <v>-1.1462376427031363E-2</v>
      </c>
      <c r="Q13" s="2">
        <v>3.3886988860320642E-4</v>
      </c>
      <c r="R13" s="27">
        <f t="shared" si="7"/>
        <v>-6.0251521733398058E-3</v>
      </c>
      <c r="S13" s="2">
        <v>-6.6341816653112612E-3</v>
      </c>
      <c r="T13" s="27">
        <f t="shared" si="8"/>
        <v>-1.2998203727254274E-2</v>
      </c>
    </row>
    <row r="14" spans="1:20">
      <c r="A14" s="1">
        <v>42699</v>
      </c>
      <c r="B14">
        <v>3.9143869124048051E-3</v>
      </c>
      <c r="C14" s="2">
        <v>-2.1922428330522787E-2</v>
      </c>
      <c r="D14" s="2">
        <v>2.0219845663219638E-3</v>
      </c>
      <c r="E14" s="2">
        <f t="shared" si="0"/>
        <v>2.3944412896844749E-2</v>
      </c>
      <c r="F14" s="2">
        <v>4.9959743890934487E-3</v>
      </c>
      <c r="G14" s="2">
        <f t="shared" si="1"/>
        <v>2.6918402719616236E-2</v>
      </c>
      <c r="H14" s="2">
        <v>6.8181061293456141E-3</v>
      </c>
      <c r="I14" s="2">
        <f t="shared" si="2"/>
        <v>2.8740534459868402E-2</v>
      </c>
      <c r="J14">
        <v>-2.1495216827857426E-4</v>
      </c>
      <c r="K14" s="27">
        <f t="shared" si="3"/>
        <v>2.1707476162244214E-2</v>
      </c>
      <c r="L14" s="27">
        <f t="shared" si="4"/>
        <v>2.5836815242927594E-2</v>
      </c>
      <c r="M14" s="2">
        <v>-3.4090909090910382E-3</v>
      </c>
      <c r="N14" s="27">
        <f t="shared" si="5"/>
        <v>1.8513337421431748E-2</v>
      </c>
      <c r="O14" s="2">
        <v>5.034638512105314E-3</v>
      </c>
      <c r="P14" s="27">
        <f t="shared" si="6"/>
        <v>2.6957066842628101E-2</v>
      </c>
      <c r="Q14" s="2">
        <v>-1.8636247605145278E-3</v>
      </c>
      <c r="R14" s="27">
        <f t="shared" si="7"/>
        <v>2.0058803570008259E-2</v>
      </c>
      <c r="S14" s="2">
        <v>3.2046352048699893E-4</v>
      </c>
      <c r="T14" s="27">
        <f t="shared" si="8"/>
        <v>2.2242891851009784E-2</v>
      </c>
    </row>
    <row r="15" spans="1:20">
      <c r="A15" s="1">
        <v>42702</v>
      </c>
      <c r="B15">
        <v>-5.254535651865005E-3</v>
      </c>
      <c r="C15" s="2">
        <v>-7.7586206896550838E-3</v>
      </c>
      <c r="D15" s="2">
        <v>-5.3112223856458061E-4</v>
      </c>
      <c r="E15" s="2">
        <f t="shared" si="0"/>
        <v>7.2274984510905032E-3</v>
      </c>
      <c r="F15" s="2">
        <v>1.3435428113938478E-3</v>
      </c>
      <c r="G15" s="2">
        <f t="shared" si="1"/>
        <v>9.1021635010489314E-3</v>
      </c>
      <c r="H15" s="2">
        <v>1.9750495953062266E-3</v>
      </c>
      <c r="I15" s="2">
        <f t="shared" si="2"/>
        <v>9.7336702849613113E-3</v>
      </c>
      <c r="J15">
        <v>8.0636488965993135E-3</v>
      </c>
      <c r="K15" s="27">
        <f t="shared" si="3"/>
        <v>1.5822269586254399E-2</v>
      </c>
      <c r="L15" s="27">
        <f t="shared" si="4"/>
        <v>2.5040850377900789E-3</v>
      </c>
      <c r="M15" s="2">
        <v>6.8415051311289058E-3</v>
      </c>
      <c r="N15" s="27">
        <f t="shared" si="5"/>
        <v>1.460012582078399E-2</v>
      </c>
      <c r="O15" s="2">
        <v>-1.9680102757328702E-3</v>
      </c>
      <c r="P15" s="27">
        <f t="shared" si="6"/>
        <v>5.7906104139222141E-3</v>
      </c>
      <c r="Q15" s="2">
        <v>-1.1881228316087646E-2</v>
      </c>
      <c r="R15" s="27">
        <f t="shared" si="7"/>
        <v>-4.1226076264325624E-3</v>
      </c>
      <c r="S15" s="2">
        <v>-1.7427598558552949E-2</v>
      </c>
      <c r="T15" s="27">
        <f t="shared" si="8"/>
        <v>-9.6689778688978656E-3</v>
      </c>
    </row>
    <row r="16" spans="1:20">
      <c r="A16" s="1">
        <v>42703</v>
      </c>
      <c r="B16">
        <v>1.3352928795321763E-3</v>
      </c>
      <c r="C16" s="2">
        <v>2.8670721112076383E-2</v>
      </c>
      <c r="D16" s="2">
        <v>-9.1382787773632186E-3</v>
      </c>
      <c r="E16" s="2">
        <f t="shared" si="0"/>
        <v>-3.7808999889439601E-2</v>
      </c>
      <c r="F16" s="2">
        <v>-1.7441356028324365E-3</v>
      </c>
      <c r="G16" s="2">
        <f t="shared" si="1"/>
        <v>-3.041485671490882E-2</v>
      </c>
      <c r="H16" s="2">
        <v>-5.632024538029654E-3</v>
      </c>
      <c r="I16" s="2">
        <f t="shared" si="2"/>
        <v>-3.4302745650106034E-2</v>
      </c>
      <c r="J16">
        <v>1.3118557740645099E-2</v>
      </c>
      <c r="K16" s="27">
        <f t="shared" si="3"/>
        <v>-1.5552163371431284E-2</v>
      </c>
      <c r="L16" s="27">
        <f t="shared" si="4"/>
        <v>-2.7335428232544208E-2</v>
      </c>
      <c r="M16" s="2">
        <v>1.1325028312570741E-2</v>
      </c>
      <c r="N16" s="27">
        <f t="shared" si="5"/>
        <v>-1.7345692799505642E-2</v>
      </c>
      <c r="O16" s="2">
        <v>-9.8587263179115352E-4</v>
      </c>
      <c r="P16" s="27">
        <f t="shared" si="6"/>
        <v>-2.9656593743867535E-2</v>
      </c>
      <c r="Q16" s="2">
        <v>4.5806812632148766E-3</v>
      </c>
      <c r="R16" s="27">
        <f t="shared" si="7"/>
        <v>-2.4090039848861506E-2</v>
      </c>
      <c r="S16" s="2">
        <v>-5.542731052526023E-3</v>
      </c>
      <c r="T16" s="27">
        <f t="shared" si="8"/>
        <v>-3.4213452164602406E-2</v>
      </c>
    </row>
    <row r="17" spans="1:20">
      <c r="A17" s="1">
        <v>42704</v>
      </c>
      <c r="B17">
        <v>-2.6534038053485352E-3</v>
      </c>
      <c r="C17" s="2">
        <v>3.0827702702702686E-2</v>
      </c>
      <c r="D17" s="2">
        <v>-1.1259992548678264E-2</v>
      </c>
      <c r="E17" s="2">
        <f t="shared" si="0"/>
        <v>-4.2087695251380952E-2</v>
      </c>
      <c r="F17" s="2">
        <v>-6.3173372030938283E-3</v>
      </c>
      <c r="G17" s="2">
        <f t="shared" si="1"/>
        <v>-3.7145039905796512E-2</v>
      </c>
      <c r="H17" s="2">
        <v>-1.7275655168589778E-2</v>
      </c>
      <c r="I17" s="2">
        <f t="shared" si="2"/>
        <v>-4.8103357871292468E-2</v>
      </c>
      <c r="J17">
        <v>-1.0211611963609014E-2</v>
      </c>
      <c r="K17" s="27">
        <f t="shared" si="3"/>
        <v>-4.1039314666311701E-2</v>
      </c>
      <c r="L17" s="27">
        <f t="shared" si="4"/>
        <v>-3.3481106508051223E-2</v>
      </c>
      <c r="M17" s="2">
        <v>-2.2396416573347787E-3</v>
      </c>
      <c r="N17" s="27">
        <f t="shared" si="5"/>
        <v>-3.3067344360037464E-2</v>
      </c>
      <c r="O17" s="2">
        <v>-8.4336080392071432E-3</v>
      </c>
      <c r="P17" s="27">
        <f t="shared" si="6"/>
        <v>-3.9261310741909833E-2</v>
      </c>
      <c r="Q17" s="2">
        <v>-2.8270168403008264E-2</v>
      </c>
      <c r="R17" s="27">
        <f t="shared" si="7"/>
        <v>-5.909787110571095E-2</v>
      </c>
      <c r="S17" s="2">
        <v>-1.5671736723712529E-2</v>
      </c>
      <c r="T17" s="27">
        <f t="shared" si="8"/>
        <v>-4.6499439426415212E-2</v>
      </c>
    </row>
    <row r="18" spans="1:20">
      <c r="A18" s="1">
        <v>42705</v>
      </c>
      <c r="B18">
        <v>-3.515529214704194E-3</v>
      </c>
      <c r="C18" s="2">
        <v>-2.0893076607947446E-2</v>
      </c>
      <c r="D18" s="2">
        <v>-4.9457668107838602E-2</v>
      </c>
      <c r="E18" s="2">
        <f t="shared" si="0"/>
        <v>-2.8564591499891157E-2</v>
      </c>
      <c r="F18" s="2">
        <v>-4.7612557921590026E-2</v>
      </c>
      <c r="G18" s="2">
        <f t="shared" si="1"/>
        <v>-2.671948131364258E-2</v>
      </c>
      <c r="H18" s="2">
        <v>-2.7089313263487375E-2</v>
      </c>
      <c r="I18" s="2">
        <f t="shared" si="2"/>
        <v>-6.1962366555399287E-3</v>
      </c>
      <c r="J18">
        <v>-4.4245863994230999E-2</v>
      </c>
      <c r="K18" s="27">
        <f t="shared" si="3"/>
        <v>-2.3352787386283554E-2</v>
      </c>
      <c r="L18" s="27">
        <f t="shared" si="4"/>
        <v>1.7377547393243251E-2</v>
      </c>
      <c r="M18" s="2">
        <v>-5.8361391694724978E-2</v>
      </c>
      <c r="N18" s="27">
        <f t="shared" si="5"/>
        <v>-3.7468315086777532E-2</v>
      </c>
      <c r="O18" s="2">
        <v>-9.319619329291191E-3</v>
      </c>
      <c r="P18" s="27">
        <f t="shared" si="6"/>
        <v>1.1573457278656255E-2</v>
      </c>
      <c r="Q18" s="2">
        <v>-4.5163892851420542E-2</v>
      </c>
      <c r="R18" s="27">
        <f t="shared" si="7"/>
        <v>-2.4270816243473096E-2</v>
      </c>
      <c r="S18" s="2">
        <v>-9.219636989837781E-3</v>
      </c>
      <c r="T18" s="27">
        <f t="shared" si="8"/>
        <v>1.1673439618109665E-2</v>
      </c>
    </row>
    <row r="19" spans="1:20">
      <c r="A19" s="1">
        <v>42706</v>
      </c>
      <c r="B19">
        <v>3.9700648494513758E-4</v>
      </c>
      <c r="C19" s="2">
        <v>-1.25523012552306E-3</v>
      </c>
      <c r="D19" s="2">
        <v>9.2422854324324122E-3</v>
      </c>
      <c r="E19" s="2">
        <f t="shared" si="0"/>
        <v>1.0497515557955472E-2</v>
      </c>
      <c r="F19" s="2">
        <v>4.4028602654053442E-3</v>
      </c>
      <c r="G19" s="2">
        <f t="shared" si="1"/>
        <v>5.6580903909284044E-3</v>
      </c>
      <c r="H19" s="2">
        <v>1.1848332426458309E-2</v>
      </c>
      <c r="I19" s="2">
        <f t="shared" si="2"/>
        <v>1.3103562551981369E-2</v>
      </c>
      <c r="J19">
        <v>6.8996438137141746E-3</v>
      </c>
      <c r="K19" s="27">
        <f t="shared" si="3"/>
        <v>8.1548739392372348E-3</v>
      </c>
      <c r="L19" s="27">
        <f t="shared" si="4"/>
        <v>1.6522366104681975E-3</v>
      </c>
      <c r="M19" s="2">
        <v>1.6686531585220356E-2</v>
      </c>
      <c r="N19" s="27">
        <f t="shared" si="5"/>
        <v>1.7941761710743416E-2</v>
      </c>
      <c r="O19" s="2">
        <v>3.7447072192588571E-3</v>
      </c>
      <c r="P19" s="27">
        <f t="shared" si="6"/>
        <v>4.9999373447819169E-3</v>
      </c>
      <c r="Q19" s="2">
        <v>8.7843547686390945E-3</v>
      </c>
      <c r="R19" s="27">
        <f t="shared" si="7"/>
        <v>1.0039584894162155E-2</v>
      </c>
      <c r="S19" s="2">
        <v>-4.451014446548403E-3</v>
      </c>
      <c r="T19" s="27">
        <f t="shared" si="8"/>
        <v>-3.1957843210253427E-3</v>
      </c>
    </row>
    <row r="20" spans="1:20">
      <c r="A20" s="1">
        <v>42709</v>
      </c>
      <c r="B20">
        <v>5.8213053606350181E-3</v>
      </c>
      <c r="C20" s="2">
        <v>3.7704231252617916E-3</v>
      </c>
      <c r="D20" s="2">
        <v>3.8778945808718303E-2</v>
      </c>
      <c r="E20" s="2">
        <f t="shared" si="0"/>
        <v>3.5008522683456514E-2</v>
      </c>
      <c r="F20" s="2">
        <v>-2.9695346192817424E-3</v>
      </c>
      <c r="G20" s="2">
        <f t="shared" si="1"/>
        <v>-6.739957744543534E-3</v>
      </c>
      <c r="H20" s="2">
        <v>6.7329657099397229E-3</v>
      </c>
      <c r="I20" s="2">
        <f t="shared" si="2"/>
        <v>2.9625425846779314E-3</v>
      </c>
      <c r="J20">
        <v>5.6365493268164847E-3</v>
      </c>
      <c r="K20" s="27">
        <f t="shared" si="3"/>
        <v>1.8661262015546931E-3</v>
      </c>
      <c r="L20" s="27">
        <f t="shared" si="4"/>
        <v>2.0508822353732265E-3</v>
      </c>
      <c r="M20" s="2">
        <v>1.7584994138335329E-2</v>
      </c>
      <c r="N20" s="27">
        <f t="shared" si="5"/>
        <v>1.3814571013073536E-2</v>
      </c>
      <c r="O20" s="2">
        <v>-7.1884166773181967E-3</v>
      </c>
      <c r="P20" s="27">
        <f t="shared" si="6"/>
        <v>-1.0958839802579988E-2</v>
      </c>
      <c r="Q20" s="2">
        <v>1.1630676664505095E-2</v>
      </c>
      <c r="R20" s="27">
        <f t="shared" si="7"/>
        <v>7.8602535392433039E-3</v>
      </c>
      <c r="S20" s="2">
        <v>2.5690841108608718E-2</v>
      </c>
      <c r="T20" s="27">
        <f t="shared" si="8"/>
        <v>2.1920417983346926E-2</v>
      </c>
    </row>
    <row r="21" spans="1:20">
      <c r="A21" s="1">
        <v>42710</v>
      </c>
      <c r="B21">
        <v>3.4108881136406528E-3</v>
      </c>
      <c r="C21" s="2">
        <v>-2.0450751252086785E-2</v>
      </c>
      <c r="D21" s="2">
        <v>1.643451473891399E-2</v>
      </c>
      <c r="E21" s="2">
        <f t="shared" si="0"/>
        <v>3.6885265991000775E-2</v>
      </c>
      <c r="F21" s="2">
        <v>1.2196933718034632E-2</v>
      </c>
      <c r="G21" s="2">
        <f t="shared" si="1"/>
        <v>3.2647684970121417E-2</v>
      </c>
      <c r="H21" s="2">
        <v>9.5960177675969965E-3</v>
      </c>
      <c r="I21" s="2">
        <f t="shared" si="2"/>
        <v>3.0046769019683783E-2</v>
      </c>
      <c r="J21">
        <v>-6.4841852178082176E-3</v>
      </c>
      <c r="K21" s="27">
        <f t="shared" si="3"/>
        <v>1.3966566034278568E-2</v>
      </c>
      <c r="L21" s="27">
        <f t="shared" si="4"/>
        <v>2.3861639365727438E-2</v>
      </c>
      <c r="M21" s="2">
        <v>8.8709677419354788E-2</v>
      </c>
      <c r="N21" s="27">
        <f t="shared" si="5"/>
        <v>0.10916042867144157</v>
      </c>
      <c r="O21" s="2">
        <v>7.6986551272545441E-3</v>
      </c>
      <c r="P21" s="27">
        <f t="shared" si="6"/>
        <v>2.8149406379341331E-2</v>
      </c>
      <c r="Q21" s="2">
        <v>-8.2464807250071902E-3</v>
      </c>
      <c r="R21" s="27">
        <f t="shared" si="7"/>
        <v>1.2204270527079595E-2</v>
      </c>
      <c r="S21" s="2">
        <v>7.0585573454992299E-3</v>
      </c>
      <c r="T21" s="27">
        <f t="shared" si="8"/>
        <v>2.7509308597586015E-2</v>
      </c>
    </row>
    <row r="22" spans="1:20">
      <c r="A22" s="1">
        <v>42711</v>
      </c>
      <c r="B22">
        <v>1.3163241734930208E-2</v>
      </c>
      <c r="C22" s="2">
        <v>1.7043033659991495E-2</v>
      </c>
      <c r="D22" s="2">
        <v>1.7989091545097761E-2</v>
      </c>
      <c r="E22" s="2">
        <f t="shared" si="0"/>
        <v>9.4605788510626621E-4</v>
      </c>
      <c r="F22" s="2">
        <v>1.1629404353678504E-2</v>
      </c>
      <c r="G22" s="2">
        <f t="shared" si="1"/>
        <v>-5.4136293063129903E-3</v>
      </c>
      <c r="H22" s="2">
        <v>2.2465105499821995E-2</v>
      </c>
      <c r="I22" s="2">
        <f t="shared" si="2"/>
        <v>5.4220718398305008E-3</v>
      </c>
      <c r="J22">
        <v>7.4114821369140292E-3</v>
      </c>
      <c r="K22" s="27">
        <f t="shared" si="3"/>
        <v>-9.6315515230774654E-3</v>
      </c>
      <c r="L22" s="27">
        <f t="shared" si="4"/>
        <v>-3.8797919250612867E-3</v>
      </c>
      <c r="M22" s="2">
        <v>1.1640211640211768E-2</v>
      </c>
      <c r="N22" s="27">
        <f t="shared" si="5"/>
        <v>-5.4028220197797263E-3</v>
      </c>
      <c r="O22" s="2">
        <v>9.822615360703061E-3</v>
      </c>
      <c r="P22" s="27">
        <f t="shared" si="6"/>
        <v>-7.2204182992884336E-3</v>
      </c>
      <c r="Q22" s="2">
        <v>2.3003120746298004E-2</v>
      </c>
      <c r="R22" s="27">
        <f t="shared" si="7"/>
        <v>5.9600870863065099E-3</v>
      </c>
      <c r="S22" s="2">
        <v>7.4537245216000974E-3</v>
      </c>
      <c r="T22" s="27">
        <f t="shared" si="8"/>
        <v>-9.5893091383913963E-3</v>
      </c>
    </row>
    <row r="23" spans="1:20">
      <c r="A23" s="1">
        <v>42712</v>
      </c>
      <c r="B23">
        <v>2.159342712376298E-3</v>
      </c>
      <c r="C23" s="2">
        <v>3.2258064516129017E-2</v>
      </c>
      <c r="D23" s="2">
        <v>-1.6724447427485165E-2</v>
      </c>
      <c r="E23" s="2">
        <f t="shared" si="0"/>
        <v>-4.8982511943614179E-2</v>
      </c>
      <c r="F23" s="2">
        <v>-9.6954508021797824E-4</v>
      </c>
      <c r="G23" s="2">
        <f t="shared" si="1"/>
        <v>-3.3227609596346998E-2</v>
      </c>
      <c r="H23" s="2">
        <v>5.6339589905138295E-3</v>
      </c>
      <c r="I23" s="2">
        <f t="shared" si="2"/>
        <v>-2.6624105525615189E-2</v>
      </c>
      <c r="J23">
        <v>1.3615877896123861E-2</v>
      </c>
      <c r="K23" s="27">
        <f t="shared" si="3"/>
        <v>-1.8642186620005156E-2</v>
      </c>
      <c r="L23" s="27">
        <f t="shared" si="4"/>
        <v>-3.0098721803752719E-2</v>
      </c>
      <c r="M23" s="2">
        <v>8.1589958158995751E-2</v>
      </c>
      <c r="N23" s="27">
        <f t="shared" si="5"/>
        <v>4.9331893642866734E-2</v>
      </c>
      <c r="O23" s="2">
        <v>9.8172846905032248E-3</v>
      </c>
      <c r="P23" s="27">
        <f t="shared" si="6"/>
        <v>-2.2440779825625791E-2</v>
      </c>
      <c r="Q23" s="2">
        <v>1.2815144604182297E-2</v>
      </c>
      <c r="R23" s="27">
        <f t="shared" si="7"/>
        <v>-1.9442919911946722E-2</v>
      </c>
      <c r="S23" s="2">
        <v>-4.0107552610041839E-3</v>
      </c>
      <c r="T23" s="27">
        <f t="shared" si="8"/>
        <v>-3.6268819777133199E-2</v>
      </c>
    </row>
    <row r="24" spans="1:20">
      <c r="A24" s="1">
        <v>42713</v>
      </c>
      <c r="B24">
        <v>5.9389848367235312E-3</v>
      </c>
      <c r="C24" s="2">
        <v>6.0876623376623883E-3</v>
      </c>
      <c r="D24" s="2">
        <v>-1.775790935397719E-2</v>
      </c>
      <c r="E24" s="2">
        <f t="shared" si="0"/>
        <v>-2.3845571691639578E-2</v>
      </c>
      <c r="F24" s="2">
        <v>-1.9407730191498167E-3</v>
      </c>
      <c r="G24" s="2">
        <f t="shared" si="1"/>
        <v>-8.0284353568122052E-3</v>
      </c>
      <c r="H24" s="2">
        <v>1.6806897934121697E-3</v>
      </c>
      <c r="I24" s="2">
        <f t="shared" si="2"/>
        <v>-4.4069725442502181E-3</v>
      </c>
      <c r="J24">
        <v>1.0508081692299578E-2</v>
      </c>
      <c r="K24" s="27">
        <f t="shared" si="3"/>
        <v>4.4204193546371895E-3</v>
      </c>
      <c r="L24" s="27">
        <f t="shared" si="4"/>
        <v>-1.4867750093885707E-4</v>
      </c>
      <c r="M24" s="2">
        <v>0</v>
      </c>
      <c r="N24" s="27">
        <f t="shared" si="5"/>
        <v>-6.0876623376623883E-3</v>
      </c>
      <c r="O24" s="2">
        <v>1.6321755741416664E-2</v>
      </c>
      <c r="P24" s="27">
        <f t="shared" si="6"/>
        <v>1.0234093403754276E-2</v>
      </c>
      <c r="Q24" s="2">
        <v>4.9089025382690686E-2</v>
      </c>
      <c r="R24" s="27">
        <f t="shared" si="7"/>
        <v>4.3001363045028301E-2</v>
      </c>
      <c r="S24" s="2">
        <v>1.7332255620596143E-3</v>
      </c>
      <c r="T24" s="27">
        <f t="shared" si="8"/>
        <v>-4.3544367756027744E-3</v>
      </c>
    </row>
    <row r="25" spans="1:20">
      <c r="A25" s="1">
        <v>42716</v>
      </c>
      <c r="B25">
        <v>-1.1374347616603382E-3</v>
      </c>
      <c r="C25" s="2">
        <v>8.0677692617982233E-4</v>
      </c>
      <c r="D25" s="2">
        <v>-2.4286693182864683E-2</v>
      </c>
      <c r="E25" s="2">
        <f t="shared" si="0"/>
        <v>-2.5093470109044506E-2</v>
      </c>
      <c r="F25" s="2">
        <v>-3.6117877291790734E-3</v>
      </c>
      <c r="G25" s="2">
        <f t="shared" si="1"/>
        <v>-4.4185646553588954E-3</v>
      </c>
      <c r="H25" s="2">
        <v>5.8723861949120139E-3</v>
      </c>
      <c r="I25" s="2">
        <f t="shared" si="2"/>
        <v>5.0656092687321914E-3</v>
      </c>
      <c r="J25">
        <v>-8.683512099951966E-3</v>
      </c>
      <c r="K25" s="27">
        <f t="shared" si="3"/>
        <v>-9.4902890261317884E-3</v>
      </c>
      <c r="L25" s="27">
        <f t="shared" si="4"/>
        <v>-1.9442116878401606E-3</v>
      </c>
      <c r="M25" s="2">
        <v>3.2882011605415845E-2</v>
      </c>
      <c r="N25" s="27">
        <f t="shared" si="5"/>
        <v>3.2075234679236023E-2</v>
      </c>
      <c r="O25" s="2">
        <v>-5.7042312196851535E-3</v>
      </c>
      <c r="P25" s="27">
        <f t="shared" si="6"/>
        <v>-6.5110081458649759E-3</v>
      </c>
      <c r="Q25" s="2">
        <v>-5.192740572888703E-3</v>
      </c>
      <c r="R25" s="27">
        <f t="shared" si="7"/>
        <v>-5.9995174990685254E-3</v>
      </c>
      <c r="S25" s="2">
        <v>-1.1110215569921473E-2</v>
      </c>
      <c r="T25" s="27">
        <f t="shared" si="8"/>
        <v>-1.1916992496101295E-2</v>
      </c>
    </row>
    <row r="26" spans="1:20">
      <c r="A26" s="1">
        <v>42717</v>
      </c>
      <c r="B26">
        <v>6.5397748542513753E-3</v>
      </c>
      <c r="C26" s="2">
        <v>1.7734784361144715E-2</v>
      </c>
      <c r="D26" s="2">
        <v>1.7636036497500999E-2</v>
      </c>
      <c r="E26" s="2">
        <f t="shared" si="0"/>
        <v>-9.8747863643715295E-5</v>
      </c>
      <c r="F26" s="2">
        <v>2.0493555772018262E-2</v>
      </c>
      <c r="G26" s="2">
        <f t="shared" si="1"/>
        <v>2.7587714108735471E-3</v>
      </c>
      <c r="H26" s="2">
        <v>2.3074879263374915E-2</v>
      </c>
      <c r="I26" s="2">
        <f t="shared" si="2"/>
        <v>5.3400949022302004E-3</v>
      </c>
      <c r="J26">
        <v>-3.3524061495359522E-3</v>
      </c>
      <c r="K26" s="27">
        <f t="shared" si="3"/>
        <v>-2.1087190510680667E-2</v>
      </c>
      <c r="L26" s="27">
        <f t="shared" si="4"/>
        <v>-1.1195009506893339E-2</v>
      </c>
      <c r="M26" s="2">
        <v>-1.3108614232209791E-2</v>
      </c>
      <c r="N26" s="27">
        <f t="shared" si="5"/>
        <v>-3.0843398593354505E-2</v>
      </c>
      <c r="O26" s="2">
        <v>1.6681349469547444E-2</v>
      </c>
      <c r="P26" s="27">
        <f t="shared" si="6"/>
        <v>-1.0534348915972706E-3</v>
      </c>
      <c r="Q26" s="2">
        <v>7.1844699509917443E-3</v>
      </c>
      <c r="R26" s="27">
        <f t="shared" si="7"/>
        <v>-1.055031441015297E-2</v>
      </c>
      <c r="S26" s="2">
        <v>1.8707614710227357E-2</v>
      </c>
      <c r="T26" s="27">
        <f t="shared" si="8"/>
        <v>9.7283034908264218E-4</v>
      </c>
    </row>
    <row r="27" spans="1:20">
      <c r="A27" s="1">
        <v>42718</v>
      </c>
      <c r="B27">
        <v>-8.1171721142561434E-3</v>
      </c>
      <c r="C27" s="2">
        <v>2.1782178217821847E-2</v>
      </c>
      <c r="D27" s="2">
        <v>5.7913597026737075E-2</v>
      </c>
      <c r="E27" s="2">
        <f t="shared" si="0"/>
        <v>3.6131418808915225E-2</v>
      </c>
      <c r="F27" s="2">
        <v>-9.5628450891061152E-3</v>
      </c>
      <c r="G27" s="2">
        <f t="shared" si="1"/>
        <v>-3.1345023306927962E-2</v>
      </c>
      <c r="H27" s="2">
        <v>-6.7935816047686916E-3</v>
      </c>
      <c r="I27" s="2">
        <f t="shared" si="2"/>
        <v>-2.8575759822590537E-2</v>
      </c>
      <c r="J27">
        <v>-1.0525194855677239E-2</v>
      </c>
      <c r="K27" s="27">
        <f t="shared" si="3"/>
        <v>-3.2307373073499082E-2</v>
      </c>
      <c r="L27" s="27">
        <f t="shared" si="4"/>
        <v>-2.9899350332077988E-2</v>
      </c>
      <c r="M27" s="2">
        <v>9.4876660341570811E-4</v>
      </c>
      <c r="N27" s="27">
        <f t="shared" si="5"/>
        <v>-2.083341161440614E-2</v>
      </c>
      <c r="O27" s="2">
        <v>0</v>
      </c>
      <c r="P27" s="27">
        <f t="shared" si="6"/>
        <v>-2.1782178217821847E-2</v>
      </c>
      <c r="Q27" s="2">
        <v>-4.48378629086178E-3</v>
      </c>
      <c r="R27" s="27">
        <f t="shared" si="7"/>
        <v>-2.6265964508683626E-2</v>
      </c>
      <c r="S27" s="2">
        <v>-7.1286770766403008E-3</v>
      </c>
      <c r="T27" s="27">
        <f t="shared" si="8"/>
        <v>-2.8910855294462148E-2</v>
      </c>
    </row>
    <row r="28" spans="1:20">
      <c r="A28" s="1">
        <v>42719</v>
      </c>
      <c r="B28">
        <v>3.8832279554189401E-3</v>
      </c>
      <c r="C28" s="2">
        <v>6.589147286821668E-3</v>
      </c>
      <c r="D28" s="2">
        <v>2.3431902997746213E-2</v>
      </c>
      <c r="E28" s="2">
        <f t="shared" si="0"/>
        <v>1.6842755710924546E-2</v>
      </c>
      <c r="F28" s="2">
        <v>1.3103462290899136E-2</v>
      </c>
      <c r="G28" s="2">
        <f t="shared" si="1"/>
        <v>6.5143150040774681E-3</v>
      </c>
      <c r="H28" s="2">
        <v>6.5664727993209387E-3</v>
      </c>
      <c r="I28" s="2">
        <f t="shared" si="2"/>
        <v>-2.2674487500729326E-5</v>
      </c>
      <c r="J28">
        <v>-2.566075171267139E-2</v>
      </c>
      <c r="K28" s="27">
        <f t="shared" si="3"/>
        <v>-3.2249898999493057E-2</v>
      </c>
      <c r="L28" s="27">
        <f t="shared" si="4"/>
        <v>-2.7059193314027279E-3</v>
      </c>
      <c r="M28" s="2">
        <v>2.9383886255924047E-2</v>
      </c>
      <c r="N28" s="27">
        <f t="shared" si="5"/>
        <v>2.279473896910238E-2</v>
      </c>
      <c r="O28" s="2">
        <v>5.4692570853387993E-3</v>
      </c>
      <c r="P28" s="27">
        <f t="shared" si="6"/>
        <v>-1.1198902014828687E-3</v>
      </c>
      <c r="Q28" s="2">
        <v>1.3455725040372126E-2</v>
      </c>
      <c r="R28" s="27">
        <f t="shared" si="7"/>
        <v>6.8665777535504577E-3</v>
      </c>
      <c r="S28" s="2">
        <v>-1.017144055669721E-2</v>
      </c>
      <c r="T28" s="27">
        <f t="shared" si="8"/>
        <v>-1.6760587843518877E-2</v>
      </c>
    </row>
    <row r="29" spans="1:20">
      <c r="A29" s="1">
        <v>42720</v>
      </c>
      <c r="B29">
        <v>-1.7506226483432865E-3</v>
      </c>
      <c r="C29" s="2">
        <v>-2.1178282633808301E-2</v>
      </c>
      <c r="D29" s="2">
        <v>1.7222248160698495E-2</v>
      </c>
      <c r="E29" s="2">
        <f t="shared" si="0"/>
        <v>3.8400530794506796E-2</v>
      </c>
      <c r="F29" s="2">
        <v>-7.6242062227673529E-3</v>
      </c>
      <c r="G29" s="2">
        <f t="shared" si="1"/>
        <v>1.3554076411040948E-2</v>
      </c>
      <c r="H29" s="2">
        <v>-1.3046963590590611E-2</v>
      </c>
      <c r="I29" s="2">
        <f t="shared" si="2"/>
        <v>8.1313190432176895E-3</v>
      </c>
      <c r="J29">
        <v>-2.0258863708696156E-3</v>
      </c>
      <c r="K29" s="27">
        <f t="shared" si="3"/>
        <v>1.9152396262938687E-2</v>
      </c>
      <c r="L29" s="27">
        <f t="shared" si="4"/>
        <v>1.9427659985465015E-2</v>
      </c>
      <c r="M29" s="2">
        <v>-1.8416206261510065E-2</v>
      </c>
      <c r="N29" s="27">
        <f t="shared" si="5"/>
        <v>2.7620763722982361E-3</v>
      </c>
      <c r="O29" s="2">
        <v>1.2950689176931523E-3</v>
      </c>
      <c r="P29" s="27">
        <f t="shared" si="6"/>
        <v>2.2473351551501451E-2</v>
      </c>
      <c r="Q29" s="2">
        <v>-8.8328909090575926E-3</v>
      </c>
      <c r="R29" s="27">
        <f t="shared" si="7"/>
        <v>1.2345391724750708E-2</v>
      </c>
      <c r="S29" s="2">
        <v>-4.2443889618921883E-3</v>
      </c>
      <c r="T29" s="27">
        <f t="shared" si="8"/>
        <v>1.6933893671916112E-2</v>
      </c>
    </row>
    <row r="30" spans="1:20">
      <c r="A30" s="1">
        <v>42723</v>
      </c>
      <c r="B30">
        <v>1.9751207295131733E-3</v>
      </c>
      <c r="C30" s="2">
        <v>1.0228166797797108E-2</v>
      </c>
      <c r="D30" s="2">
        <v>1.2150117614866457E-2</v>
      </c>
      <c r="E30" s="2">
        <f t="shared" si="0"/>
        <v>1.9219508170693483E-3</v>
      </c>
      <c r="F30" s="2">
        <v>9.3291127166755874E-3</v>
      </c>
      <c r="G30" s="2">
        <f t="shared" si="1"/>
        <v>-8.9905408112152078E-4</v>
      </c>
      <c r="H30" s="2">
        <v>1.597343340175969E-2</v>
      </c>
      <c r="I30" s="2">
        <f t="shared" si="2"/>
        <v>5.7452666039625819E-3</v>
      </c>
      <c r="J30">
        <v>2.9322432148921446E-3</v>
      </c>
      <c r="K30" s="27">
        <f t="shared" si="3"/>
        <v>-7.2959235829049632E-3</v>
      </c>
      <c r="L30" s="27">
        <f t="shared" si="4"/>
        <v>-8.2530460682839341E-3</v>
      </c>
      <c r="M30" s="2">
        <v>2.7204502814258832E-2</v>
      </c>
      <c r="N30" s="27">
        <f t="shared" si="5"/>
        <v>1.6976336016461722E-2</v>
      </c>
      <c r="O30" s="2">
        <v>5.7773363302042009E-3</v>
      </c>
      <c r="P30" s="27">
        <f t="shared" si="6"/>
        <v>-4.4508304675929073E-3</v>
      </c>
      <c r="Q30" s="2">
        <v>1.1433694782516463E-2</v>
      </c>
      <c r="R30" s="27">
        <f t="shared" si="7"/>
        <v>1.2055279847193543E-3</v>
      </c>
      <c r="S30" s="2">
        <v>1.0860788607076266E-2</v>
      </c>
      <c r="T30" s="27">
        <f t="shared" si="8"/>
        <v>6.3262180927915745E-4</v>
      </c>
    </row>
    <row r="31" spans="1:20">
      <c r="A31" s="1">
        <v>42724</v>
      </c>
      <c r="B31">
        <v>3.6375123841505277E-3</v>
      </c>
      <c r="C31" s="2">
        <v>-8.5669781931465121E-3</v>
      </c>
      <c r="D31" s="2">
        <v>3.4832289557502255E-2</v>
      </c>
      <c r="E31" s="2">
        <f t="shared" si="0"/>
        <v>4.3399267750648771E-2</v>
      </c>
      <c r="F31" s="2">
        <v>6.388497081854543E-3</v>
      </c>
      <c r="G31" s="2">
        <f t="shared" si="1"/>
        <v>1.4955475275001056E-2</v>
      </c>
      <c r="H31" s="2">
        <v>8.6744260239192197E-3</v>
      </c>
      <c r="I31" s="2">
        <f t="shared" si="2"/>
        <v>1.7241404217065732E-2</v>
      </c>
      <c r="J31">
        <v>1.0232722365905684E-2</v>
      </c>
      <c r="K31" s="27">
        <f t="shared" si="3"/>
        <v>1.8799700559052196E-2</v>
      </c>
      <c r="L31" s="27">
        <f t="shared" si="4"/>
        <v>1.220449057729704E-2</v>
      </c>
      <c r="M31" s="2">
        <v>5.1141552511415576E-2</v>
      </c>
      <c r="N31" s="27">
        <f t="shared" si="5"/>
        <v>5.9708530704562085E-2</v>
      </c>
      <c r="O31" s="2">
        <v>2.6577957267609298E-3</v>
      </c>
      <c r="P31" s="27">
        <f t="shared" si="6"/>
        <v>1.1224773919907442E-2</v>
      </c>
      <c r="Q31" s="2">
        <v>8.9216957043165516E-3</v>
      </c>
      <c r="R31" s="27">
        <f t="shared" si="7"/>
        <v>1.7488673897463065E-2</v>
      </c>
      <c r="S31" s="2">
        <v>6.8145835509138206E-3</v>
      </c>
      <c r="T31" s="27">
        <f t="shared" si="8"/>
        <v>1.5381561744060333E-2</v>
      </c>
    </row>
    <row r="32" spans="1:20">
      <c r="A32" s="1">
        <v>42725</v>
      </c>
      <c r="B32">
        <v>-2.4573614012164844E-3</v>
      </c>
      <c r="C32" s="2">
        <v>2.7494108405342176E-3</v>
      </c>
      <c r="D32" s="2">
        <v>6.2755787965605124E-3</v>
      </c>
      <c r="E32" s="2">
        <f t="shared" si="0"/>
        <v>3.5261679560262948E-3</v>
      </c>
      <c r="F32" s="2">
        <v>1.7556921170799795E-3</v>
      </c>
      <c r="G32" s="2">
        <f t="shared" si="1"/>
        <v>-9.9371872345423813E-4</v>
      </c>
      <c r="H32" s="2">
        <v>-6.1810836681844917E-3</v>
      </c>
      <c r="I32" s="2">
        <f t="shared" si="2"/>
        <v>-8.9304945087187101E-3</v>
      </c>
      <c r="J32">
        <v>-6.5671864010323341E-3</v>
      </c>
      <c r="K32" s="27">
        <f t="shared" si="3"/>
        <v>-9.3165972415665509E-3</v>
      </c>
      <c r="L32" s="27">
        <f t="shared" si="4"/>
        <v>-5.2067722417507021E-3</v>
      </c>
      <c r="M32" s="2">
        <v>-3.47523892267586E-3</v>
      </c>
      <c r="N32" s="27">
        <f t="shared" si="5"/>
        <v>-6.2246497632100772E-3</v>
      </c>
      <c r="O32" s="2">
        <v>9.4058947360298889E-4</v>
      </c>
      <c r="P32" s="27">
        <f t="shared" si="6"/>
        <v>-1.8088213669312288E-3</v>
      </c>
      <c r="Q32" s="2">
        <v>1.2082636870999195E-3</v>
      </c>
      <c r="R32" s="27">
        <f t="shared" si="7"/>
        <v>-1.5411471534342981E-3</v>
      </c>
      <c r="S32" s="2">
        <v>-8.0391460713355564E-4</v>
      </c>
      <c r="T32" s="27">
        <f t="shared" si="8"/>
        <v>-3.5533254476677731E-3</v>
      </c>
    </row>
    <row r="33" spans="1:20">
      <c r="A33" s="1">
        <v>42726</v>
      </c>
      <c r="B33">
        <v>-1.8629738593322425E-3</v>
      </c>
      <c r="C33" s="2">
        <v>-3.9169604386994853E-3</v>
      </c>
      <c r="D33" s="2">
        <v>1.2094780435213927E-2</v>
      </c>
      <c r="E33" s="2">
        <f t="shared" si="0"/>
        <v>1.601174087391341E-2</v>
      </c>
      <c r="F33" s="2">
        <v>4.0444537694105473E-4</v>
      </c>
      <c r="G33" s="2">
        <f t="shared" si="1"/>
        <v>4.3214058156405399E-3</v>
      </c>
      <c r="H33" s="2">
        <v>-1.3521472727689432E-3</v>
      </c>
      <c r="I33" s="2">
        <f t="shared" si="2"/>
        <v>2.5648131659305419E-3</v>
      </c>
      <c r="J33">
        <v>-2.7450946778711443E-2</v>
      </c>
      <c r="K33" s="27">
        <f t="shared" si="3"/>
        <v>-2.3533986340011956E-2</v>
      </c>
      <c r="L33" s="27">
        <f t="shared" si="4"/>
        <v>2.0539865793672428E-3</v>
      </c>
      <c r="M33" s="2">
        <v>1.1333914559720925E-2</v>
      </c>
      <c r="N33" s="27">
        <f t="shared" si="5"/>
        <v>1.525087499842041E-2</v>
      </c>
      <c r="O33" s="2">
        <v>-6.577808974858987E-3</v>
      </c>
      <c r="P33" s="27">
        <f t="shared" si="6"/>
        <v>-2.6608485361595017E-3</v>
      </c>
      <c r="Q33" s="2">
        <v>-9.2709187241004284E-3</v>
      </c>
      <c r="R33" s="27">
        <f t="shared" si="7"/>
        <v>-5.3539582854009431E-3</v>
      </c>
      <c r="S33" s="2">
        <v>-5.5280938653961319E-3</v>
      </c>
      <c r="T33" s="27">
        <f t="shared" si="8"/>
        <v>-1.6111334266966466E-3</v>
      </c>
    </row>
    <row r="34" spans="1:20">
      <c r="A34" s="1">
        <v>42727</v>
      </c>
      <c r="B34">
        <v>1.2517152222139495E-3</v>
      </c>
      <c r="C34" s="2">
        <v>7.8647267007471554E-3</v>
      </c>
      <c r="D34" s="2">
        <v>2.4927703355036336E-2</v>
      </c>
      <c r="E34" s="2">
        <f t="shared" si="0"/>
        <v>1.7062976654289179E-2</v>
      </c>
      <c r="F34" s="2">
        <v>2.425967558515004E-3</v>
      </c>
      <c r="G34" s="2">
        <f t="shared" si="1"/>
        <v>-5.438759142232151E-3</v>
      </c>
      <c r="H34" s="2">
        <v>1.0832158540788962E-3</v>
      </c>
      <c r="I34" s="2">
        <f t="shared" si="2"/>
        <v>-6.7815108466682591E-3</v>
      </c>
      <c r="J34">
        <v>-1.1523041076392665E-4</v>
      </c>
      <c r="K34" s="27">
        <f t="shared" si="3"/>
        <v>-7.9799571115110827E-3</v>
      </c>
      <c r="L34" s="27">
        <f t="shared" si="4"/>
        <v>-6.6130114785332064E-3</v>
      </c>
      <c r="M34" s="2">
        <v>-1.7241379310344461E-3</v>
      </c>
      <c r="N34" s="27">
        <f t="shared" si="5"/>
        <v>-9.5888646317816018E-3</v>
      </c>
      <c r="O34" s="2">
        <v>1.9777186186678312E-3</v>
      </c>
      <c r="P34" s="27">
        <f t="shared" si="6"/>
        <v>-5.8870080820793242E-3</v>
      </c>
      <c r="Q34" s="2">
        <v>7.4197444536836209E-3</v>
      </c>
      <c r="R34" s="27">
        <f t="shared" si="7"/>
        <v>-4.4498224706353458E-4</v>
      </c>
      <c r="S34" s="2">
        <v>-7.5031967500243857E-3</v>
      </c>
      <c r="T34" s="27">
        <f t="shared" si="8"/>
        <v>-1.536792345077154E-2</v>
      </c>
    </row>
    <row r="35" spans="1:20">
      <c r="A35" s="1">
        <v>42731</v>
      </c>
      <c r="B35">
        <v>2.2483728227059687E-3</v>
      </c>
      <c r="C35" s="2">
        <v>-2.2239563012095349E-2</v>
      </c>
      <c r="D35" s="2">
        <v>6.8682789641137776E-2</v>
      </c>
      <c r="E35" s="2">
        <f t="shared" si="0"/>
        <v>9.0922352653233118E-2</v>
      </c>
      <c r="F35" s="2">
        <v>6.5878321284955537E-3</v>
      </c>
      <c r="G35" s="2">
        <f t="shared" si="1"/>
        <v>2.8827395140590902E-2</v>
      </c>
      <c r="H35" s="2">
        <v>2.7049147155532582E-3</v>
      </c>
      <c r="I35" s="2">
        <f t="shared" si="2"/>
        <v>2.4944477727648608E-2</v>
      </c>
      <c r="J35">
        <v>8.6415484659344566E-3</v>
      </c>
      <c r="K35" s="27">
        <f t="shared" si="3"/>
        <v>3.0881111478029806E-2</v>
      </c>
      <c r="L35" s="27">
        <f t="shared" si="4"/>
        <v>2.4487935834801317E-2</v>
      </c>
      <c r="M35" s="2">
        <v>4.2314335060449071E-2</v>
      </c>
      <c r="N35" s="27">
        <f t="shared" si="5"/>
        <v>6.4553898072544413E-2</v>
      </c>
      <c r="O35" s="2">
        <v>6.3508899899941077E-3</v>
      </c>
      <c r="P35" s="27">
        <f t="shared" si="6"/>
        <v>2.8590453002089455E-2</v>
      </c>
      <c r="Q35" s="2">
        <v>2.0334951218587507E-3</v>
      </c>
      <c r="R35" s="27">
        <f t="shared" si="7"/>
        <v>2.4273058133954101E-2</v>
      </c>
      <c r="S35" s="2">
        <v>1.4212646256535871E-2</v>
      </c>
      <c r="T35" s="27">
        <f t="shared" si="8"/>
        <v>3.6452209268631221E-2</v>
      </c>
    </row>
    <row r="36" spans="1:20">
      <c r="A36" s="1">
        <v>42732</v>
      </c>
      <c r="B36">
        <v>-8.3565292028286806E-3</v>
      </c>
      <c r="C36" s="2">
        <v>-1.1572226656025506E-2</v>
      </c>
      <c r="D36" s="2">
        <v>-6.8786156947719876E-2</v>
      </c>
      <c r="E36" s="2">
        <f t="shared" si="0"/>
        <v>-5.7213930291694373E-2</v>
      </c>
      <c r="F36" s="2">
        <v>-1.0952239289476456E-2</v>
      </c>
      <c r="G36" s="2">
        <f t="shared" si="1"/>
        <v>6.1998736654905046E-4</v>
      </c>
      <c r="H36" s="2">
        <v>-1.1869402206399957E-2</v>
      </c>
      <c r="I36" s="2">
        <f t="shared" si="2"/>
        <v>-2.9717555037445109E-4</v>
      </c>
      <c r="J36">
        <v>-1.9419465165416978E-3</v>
      </c>
      <c r="K36" s="27">
        <f t="shared" si="3"/>
        <v>9.6302801394838079E-3</v>
      </c>
      <c r="L36" s="27">
        <f t="shared" si="4"/>
        <v>3.2156974531968256E-3</v>
      </c>
      <c r="M36" s="2">
        <v>-4.3082021541010734E-2</v>
      </c>
      <c r="N36" s="27">
        <f t="shared" si="5"/>
        <v>-3.1509794884985232E-2</v>
      </c>
      <c r="O36" s="2">
        <v>-4.2639786302386328E-3</v>
      </c>
      <c r="P36" s="27">
        <f t="shared" si="6"/>
        <v>7.3082480257868733E-3</v>
      </c>
      <c r="Q36" s="2">
        <v>-1.1628471181664624E-2</v>
      </c>
      <c r="R36" s="27">
        <f t="shared" si="7"/>
        <v>-5.6244525639117735E-5</v>
      </c>
      <c r="S36" s="2">
        <v>9.4630668562171636E-4</v>
      </c>
      <c r="T36" s="27">
        <f t="shared" si="8"/>
        <v>1.2518533341647223E-2</v>
      </c>
    </row>
    <row r="37" spans="1:20">
      <c r="A37" s="1">
        <v>42733</v>
      </c>
      <c r="B37">
        <v>-2.9330466100032011E-4</v>
      </c>
      <c r="C37" s="2">
        <v>-1.2515139281388653E-2</v>
      </c>
      <c r="D37" s="2">
        <v>1.995417387106618E-2</v>
      </c>
      <c r="E37" s="2">
        <f t="shared" si="0"/>
        <v>3.2469313152454833E-2</v>
      </c>
      <c r="F37" s="2">
        <v>1.3503403452485966E-3</v>
      </c>
      <c r="G37" s="2">
        <f t="shared" si="1"/>
        <v>1.3865479626637251E-2</v>
      </c>
      <c r="H37" s="2">
        <v>8.1891103668949559E-4</v>
      </c>
      <c r="I37" s="2">
        <f t="shared" si="2"/>
        <v>1.3334050318078149E-2</v>
      </c>
      <c r="J37">
        <v>-4.5783448124642651E-4</v>
      </c>
      <c r="K37" s="27">
        <f t="shared" si="3"/>
        <v>1.2057304800142226E-2</v>
      </c>
      <c r="L37" s="27">
        <f t="shared" si="4"/>
        <v>1.2221834620388334E-2</v>
      </c>
      <c r="M37" s="2">
        <v>3.463203463203389E-3</v>
      </c>
      <c r="N37" s="27">
        <f t="shared" si="5"/>
        <v>1.5978342744592044E-2</v>
      </c>
      <c r="O37" s="2">
        <v>-2.5693549841650443E-4</v>
      </c>
      <c r="P37" s="27">
        <f t="shared" si="6"/>
        <v>1.2258203782972149E-2</v>
      </c>
      <c r="Q37" s="2">
        <v>-1.7759306602843285E-3</v>
      </c>
      <c r="R37" s="27">
        <f t="shared" si="7"/>
        <v>1.0739208621104324E-2</v>
      </c>
      <c r="S37" s="2">
        <v>-9.0399038436538327E-3</v>
      </c>
      <c r="T37" s="27">
        <f t="shared" si="8"/>
        <v>3.4752354377348207E-3</v>
      </c>
    </row>
    <row r="38" spans="1:20">
      <c r="A38" s="1">
        <v>42734</v>
      </c>
      <c r="B38">
        <v>-4.6370503870737509E-3</v>
      </c>
      <c r="C38" s="2">
        <v>1.6353229762878182E-3</v>
      </c>
      <c r="D38" s="2">
        <v>-4.2089245388613326E-2</v>
      </c>
      <c r="E38" s="2">
        <f t="shared" si="0"/>
        <v>-4.3724568364901142E-2</v>
      </c>
      <c r="F38" s="2">
        <v>-1.5913571310655478E-2</v>
      </c>
      <c r="G38" s="2">
        <f t="shared" si="1"/>
        <v>-1.7548894286943298E-2</v>
      </c>
      <c r="H38" s="2">
        <v>-1.0638282653827161E-2</v>
      </c>
      <c r="I38" s="2">
        <f t="shared" si="2"/>
        <v>-1.2273605630114979E-2</v>
      </c>
      <c r="J38">
        <v>5.4963470629486519E-3</v>
      </c>
      <c r="K38" s="27">
        <f t="shared" si="3"/>
        <v>3.8610240866608337E-3</v>
      </c>
      <c r="L38" s="27">
        <f t="shared" si="4"/>
        <v>-6.2723733633615695E-3</v>
      </c>
      <c r="M38" s="2">
        <v>-2.1570319240724764E-2</v>
      </c>
      <c r="N38" s="27">
        <f t="shared" si="5"/>
        <v>-2.3205642217012584E-2</v>
      </c>
      <c r="O38" s="2">
        <v>-7.79578565189644E-3</v>
      </c>
      <c r="P38" s="27">
        <f t="shared" si="6"/>
        <v>-9.4311086281842586E-3</v>
      </c>
      <c r="Q38" s="2">
        <v>-1.7234589282555834E-2</v>
      </c>
      <c r="R38" s="27">
        <f t="shared" si="7"/>
        <v>-1.8869912258843654E-2</v>
      </c>
      <c r="S38" s="2">
        <v>-1.9969977809214591E-2</v>
      </c>
      <c r="T38" s="27">
        <f t="shared" si="8"/>
        <v>-2.1605300785502411E-2</v>
      </c>
    </row>
    <row r="39" spans="1:20">
      <c r="A39" s="1">
        <v>42738</v>
      </c>
      <c r="B39">
        <v>8.4865752817530268E-3</v>
      </c>
      <c r="C39" s="2">
        <v>8.1632653061215494E-4</v>
      </c>
      <c r="D39" s="2">
        <v>-4.4313175178633174E-2</v>
      </c>
      <c r="E39" s="2">
        <f t="shared" si="0"/>
        <v>-4.5129501709245332E-2</v>
      </c>
      <c r="F39" s="2">
        <v>8.3595558713973582E-3</v>
      </c>
      <c r="G39" s="2">
        <f t="shared" si="1"/>
        <v>7.5432293407852033E-3</v>
      </c>
      <c r="H39" s="2">
        <v>9.0983956697403123E-3</v>
      </c>
      <c r="I39" s="2">
        <f t="shared" si="2"/>
        <v>8.2820691391281565E-3</v>
      </c>
      <c r="J39">
        <v>8.9966976197859184E-3</v>
      </c>
      <c r="K39" s="27">
        <f t="shared" si="3"/>
        <v>8.1803710891737644E-3</v>
      </c>
      <c r="L39" s="27">
        <f t="shared" si="4"/>
        <v>7.6702487511408719E-3</v>
      </c>
      <c r="M39" s="2">
        <v>7.9365079365079239E-3</v>
      </c>
      <c r="N39" s="27">
        <f t="shared" si="5"/>
        <v>7.120181405895769E-3</v>
      </c>
      <c r="O39" s="2">
        <v>2.849237593653675E-3</v>
      </c>
      <c r="P39" s="27">
        <f t="shared" si="6"/>
        <v>2.03291106304152E-3</v>
      </c>
      <c r="Q39" s="2">
        <v>8.8815584956459942E-3</v>
      </c>
      <c r="R39" s="27">
        <f t="shared" si="7"/>
        <v>8.0652319650338401E-3</v>
      </c>
      <c r="S39" s="2">
        <v>5.0675290721560141E-3</v>
      </c>
      <c r="T39" s="27">
        <f t="shared" si="8"/>
        <v>4.2512025415438592E-3</v>
      </c>
    </row>
    <row r="40" spans="1:20">
      <c r="A40" s="1">
        <v>42739</v>
      </c>
      <c r="B40">
        <v>5.7222738442055795E-3</v>
      </c>
      <c r="C40" s="2">
        <v>-3.4257748776509001E-2</v>
      </c>
      <c r="D40" s="2">
        <v>2.333099915754298E-2</v>
      </c>
      <c r="E40" s="2">
        <f t="shared" si="0"/>
        <v>5.7588747934051984E-2</v>
      </c>
      <c r="F40" s="2">
        <v>-1.2233019378837752E-3</v>
      </c>
      <c r="G40" s="2">
        <f t="shared" si="1"/>
        <v>3.3034446838625227E-2</v>
      </c>
      <c r="H40" s="2">
        <v>-5.1912314829761627E-3</v>
      </c>
      <c r="I40" s="2">
        <f t="shared" si="2"/>
        <v>2.9066517293532837E-2</v>
      </c>
      <c r="J40">
        <v>2.155760771010402E-2</v>
      </c>
      <c r="K40" s="27">
        <f t="shared" si="3"/>
        <v>5.5815356486613024E-2</v>
      </c>
      <c r="L40" s="27">
        <f t="shared" si="4"/>
        <v>3.9980022620714581E-2</v>
      </c>
      <c r="M40" s="2">
        <v>0</v>
      </c>
      <c r="N40" s="27">
        <f t="shared" si="5"/>
        <v>3.4257748776509001E-2</v>
      </c>
      <c r="O40" s="2">
        <v>-1.1192636698097473E-3</v>
      </c>
      <c r="P40" s="27">
        <f t="shared" si="6"/>
        <v>3.3138485106699256E-2</v>
      </c>
      <c r="Q40" s="2">
        <v>-7.1212506716087122E-3</v>
      </c>
      <c r="R40" s="27">
        <f t="shared" si="7"/>
        <v>2.7136498104900288E-2</v>
      </c>
      <c r="S40" s="2">
        <v>4.6572240890214219E-3</v>
      </c>
      <c r="T40" s="27">
        <f t="shared" si="8"/>
        <v>3.8914972865530424E-2</v>
      </c>
    </row>
    <row r="41" spans="1:20">
      <c r="A41" s="1">
        <v>42740</v>
      </c>
      <c r="B41">
        <v>-7.7067048332048887E-4</v>
      </c>
      <c r="C41" s="2">
        <v>2.1114864864864979E-2</v>
      </c>
      <c r="D41" s="2">
        <v>-2.5385634107635887E-2</v>
      </c>
      <c r="E41" s="2">
        <f t="shared" si="0"/>
        <v>-4.6500498972500866E-2</v>
      </c>
      <c r="F41" s="2">
        <v>-7.7560822832607049E-3</v>
      </c>
      <c r="G41" s="2">
        <f t="shared" si="1"/>
        <v>-2.8870947148125683E-2</v>
      </c>
      <c r="H41" s="2">
        <v>-1.6479161101147592E-3</v>
      </c>
      <c r="I41" s="2">
        <f t="shared" si="2"/>
        <v>-2.2762780974979739E-2</v>
      </c>
      <c r="J41">
        <v>4.2647231407640415E-2</v>
      </c>
      <c r="K41" s="27">
        <f t="shared" si="3"/>
        <v>2.1532366542775436E-2</v>
      </c>
      <c r="L41" s="27">
        <f t="shared" si="4"/>
        <v>-2.1885535348185468E-2</v>
      </c>
      <c r="M41" s="2">
        <v>-1.6622922134733115E-2</v>
      </c>
      <c r="N41" s="27">
        <f t="shared" si="5"/>
        <v>-3.7737786999598094E-2</v>
      </c>
      <c r="O41" s="2">
        <v>5.0852916413766667E-3</v>
      </c>
      <c r="P41" s="27">
        <f t="shared" si="6"/>
        <v>-1.6029573223488313E-2</v>
      </c>
      <c r="Q41" s="2">
        <v>-1.5756460605118747E-2</v>
      </c>
      <c r="R41" s="27">
        <f t="shared" si="7"/>
        <v>-3.6871325469983729E-2</v>
      </c>
      <c r="S41" s="2">
        <v>3.07324800115262E-2</v>
      </c>
      <c r="T41" s="27">
        <f t="shared" si="8"/>
        <v>9.6176151466612209E-3</v>
      </c>
    </row>
    <row r="42" spans="1:20">
      <c r="A42" s="1">
        <v>42741</v>
      </c>
      <c r="B42">
        <v>3.5169590127809912E-3</v>
      </c>
      <c r="C42" s="2">
        <v>-1.7369727047146507E-2</v>
      </c>
      <c r="D42" s="2">
        <v>1.3367454985829781E-2</v>
      </c>
      <c r="E42" s="2">
        <f t="shared" si="0"/>
        <v>3.073718203297629E-2</v>
      </c>
      <c r="F42" s="2">
        <v>1.6867792793755488E-2</v>
      </c>
      <c r="G42" s="2">
        <f t="shared" si="1"/>
        <v>3.4237519840901995E-2</v>
      </c>
      <c r="H42" s="2">
        <v>3.5763549027705713E-3</v>
      </c>
      <c r="I42" s="2">
        <f t="shared" si="2"/>
        <v>2.0946081949917077E-2</v>
      </c>
      <c r="J42">
        <v>-5.0864044160303127E-3</v>
      </c>
      <c r="K42" s="27">
        <f t="shared" si="3"/>
        <v>1.2283322631116193E-2</v>
      </c>
      <c r="L42" s="27">
        <f t="shared" si="4"/>
        <v>2.0886686059927499E-2</v>
      </c>
      <c r="M42" s="2">
        <v>7.1174377224199354E-3</v>
      </c>
      <c r="N42" s="27">
        <f t="shared" si="5"/>
        <v>2.4487164769566444E-2</v>
      </c>
      <c r="O42" s="2">
        <v>1.114841524170989E-2</v>
      </c>
      <c r="P42" s="27">
        <f t="shared" si="6"/>
        <v>2.8518142288856397E-2</v>
      </c>
      <c r="Q42" s="2">
        <v>1.3254469882580675E-2</v>
      </c>
      <c r="R42" s="27">
        <f t="shared" si="7"/>
        <v>3.0624196929727183E-2</v>
      </c>
      <c r="S42" s="2">
        <v>1.9911560972594385E-2</v>
      </c>
      <c r="T42" s="27">
        <f t="shared" si="8"/>
        <v>3.7281288019740892E-2</v>
      </c>
    </row>
    <row r="43" spans="1:20">
      <c r="A43" s="1">
        <v>42744</v>
      </c>
      <c r="B43">
        <v>-3.548594221719928E-3</v>
      </c>
      <c r="C43" s="2">
        <v>1.2626262626263104E-3</v>
      </c>
      <c r="D43" s="2">
        <v>4.0543164447584358E-2</v>
      </c>
      <c r="E43" s="2">
        <f t="shared" si="0"/>
        <v>3.9280538184958046E-2</v>
      </c>
      <c r="F43" s="2">
        <v>2.5624177449428162E-3</v>
      </c>
      <c r="G43" s="2">
        <f t="shared" si="1"/>
        <v>1.2997914823165058E-3</v>
      </c>
      <c r="H43" s="2">
        <v>3.5636383562867861E-3</v>
      </c>
      <c r="I43" s="2">
        <f t="shared" si="2"/>
        <v>2.3010120936604759E-3</v>
      </c>
      <c r="J43">
        <v>8.8401534651203189E-3</v>
      </c>
      <c r="K43" s="27">
        <f t="shared" si="3"/>
        <v>7.5775272024940082E-3</v>
      </c>
      <c r="L43" s="27">
        <f t="shared" si="4"/>
        <v>-4.8112204843462382E-3</v>
      </c>
      <c r="M43" s="2">
        <v>1.5017667844522962E-2</v>
      </c>
      <c r="N43" s="27">
        <f t="shared" si="5"/>
        <v>1.3755041581896651E-2</v>
      </c>
      <c r="O43" s="2">
        <v>9.1594376146306913E-3</v>
      </c>
      <c r="P43" s="27">
        <f t="shared" si="6"/>
        <v>7.8968113520043806E-3</v>
      </c>
      <c r="Q43" s="2">
        <v>2.1519987839940468E-3</v>
      </c>
      <c r="R43" s="27">
        <f t="shared" si="7"/>
        <v>8.8937252136773635E-4</v>
      </c>
      <c r="S43" s="2">
        <v>1.1683476069843134E-3</v>
      </c>
      <c r="T43" s="27">
        <f t="shared" si="8"/>
        <v>-9.4278655641997014E-5</v>
      </c>
    </row>
    <row r="44" spans="1:20">
      <c r="A44" s="1">
        <v>42745</v>
      </c>
      <c r="B44">
        <v>0</v>
      </c>
      <c r="C44" s="2">
        <v>-3.7831021437578381E-3</v>
      </c>
      <c r="D44" s="2">
        <v>-7.5503443568521638E-3</v>
      </c>
      <c r="E44" s="2">
        <f t="shared" si="0"/>
        <v>-3.7672422130943257E-3</v>
      </c>
      <c r="F44" s="2">
        <v>3.4974070522072746E-3</v>
      </c>
      <c r="G44" s="2">
        <f t="shared" si="1"/>
        <v>7.2805091959651132E-3</v>
      </c>
      <c r="H44" s="2">
        <v>-1.9121546969861698E-3</v>
      </c>
      <c r="I44" s="2">
        <f t="shared" si="2"/>
        <v>1.8709474467716682E-3</v>
      </c>
      <c r="J44">
        <v>2.1431577054143017E-2</v>
      </c>
      <c r="K44" s="27">
        <f t="shared" si="3"/>
        <v>2.5214679197900856E-2</v>
      </c>
      <c r="L44" s="27">
        <f t="shared" si="4"/>
        <v>3.7831021437578381E-3</v>
      </c>
      <c r="M44" s="2">
        <v>-4.3516100957354835E-3</v>
      </c>
      <c r="N44" s="27">
        <f t="shared" si="5"/>
        <v>-5.6850795197764536E-4</v>
      </c>
      <c r="O44" s="2">
        <v>1.008438347719659E-3</v>
      </c>
      <c r="P44" s="27">
        <f t="shared" si="6"/>
        <v>4.7915404914774971E-3</v>
      </c>
      <c r="Q44" s="2">
        <v>2.0342477678088923E-2</v>
      </c>
      <c r="R44" s="27">
        <f t="shared" si="7"/>
        <v>2.4125579821846762E-2</v>
      </c>
      <c r="S44" s="2">
        <v>-1.2798763009560165E-3</v>
      </c>
      <c r="T44" s="27">
        <f t="shared" si="8"/>
        <v>2.5032258428018218E-3</v>
      </c>
    </row>
    <row r="45" spans="1:20">
      <c r="A45" s="1">
        <v>42746</v>
      </c>
      <c r="B45">
        <v>2.8296382728654553E-3</v>
      </c>
      <c r="C45" s="2">
        <v>-3.7974683544303362E-3</v>
      </c>
      <c r="D45" s="2">
        <v>-1.2303957601777105E-2</v>
      </c>
      <c r="E45" s="2">
        <f t="shared" si="0"/>
        <v>-8.5064892473467688E-3</v>
      </c>
      <c r="F45" s="2">
        <v>8.0427902825497243E-3</v>
      </c>
      <c r="G45" s="2">
        <f t="shared" si="1"/>
        <v>1.184025863698006E-2</v>
      </c>
      <c r="H45" s="2">
        <v>1.1220636993667623E-2</v>
      </c>
      <c r="I45" s="2">
        <f t="shared" si="2"/>
        <v>1.5018105348097959E-2</v>
      </c>
      <c r="J45">
        <v>1.9638449612403813E-3</v>
      </c>
      <c r="K45" s="27">
        <f t="shared" si="3"/>
        <v>5.7613133156707175E-3</v>
      </c>
      <c r="L45" s="27">
        <f t="shared" si="4"/>
        <v>6.6271066272957915E-3</v>
      </c>
      <c r="M45" s="2">
        <v>-2.0979020979020997E-2</v>
      </c>
      <c r="N45" s="27">
        <f t="shared" si="5"/>
        <v>-1.718155262459066E-2</v>
      </c>
      <c r="O45" s="2">
        <v>5.3732181677055915E-3</v>
      </c>
      <c r="P45" s="27">
        <f t="shared" si="6"/>
        <v>9.1706865221359273E-3</v>
      </c>
      <c r="Q45" s="2">
        <v>-6.3688171921770257E-3</v>
      </c>
      <c r="R45" s="27">
        <f t="shared" si="7"/>
        <v>-2.5713488377466895E-3</v>
      </c>
      <c r="S45" s="2">
        <v>3.92008531966072E-3</v>
      </c>
      <c r="T45" s="27">
        <f t="shared" si="8"/>
        <v>7.7175536740910558E-3</v>
      </c>
    </row>
    <row r="46" spans="1:20">
      <c r="A46" s="1">
        <v>42747</v>
      </c>
      <c r="B46">
        <v>-2.144809017699879E-3</v>
      </c>
      <c r="C46" s="2">
        <v>8.0474375264716989E-3</v>
      </c>
      <c r="D46" s="2">
        <v>-1.6355960359366286E-2</v>
      </c>
      <c r="E46" s="2">
        <f t="shared" si="0"/>
        <v>-2.4403397885837987E-2</v>
      </c>
      <c r="F46" s="2">
        <v>-4.6541551848438894E-3</v>
      </c>
      <c r="G46" s="2">
        <f t="shared" si="1"/>
        <v>-1.2701592711315587E-2</v>
      </c>
      <c r="H46" s="2">
        <v>-6.4952760262717594E-3</v>
      </c>
      <c r="I46" s="2">
        <f t="shared" si="2"/>
        <v>-1.4542713552743457E-2</v>
      </c>
      <c r="J46">
        <v>-1.0728285316107236E-2</v>
      </c>
      <c r="K46" s="27">
        <f t="shared" si="3"/>
        <v>-1.8775722842578935E-2</v>
      </c>
      <c r="L46" s="27">
        <f t="shared" si="4"/>
        <v>-1.0192246544171578E-2</v>
      </c>
      <c r="M46" s="2">
        <v>-3.9285714285714243E-2</v>
      </c>
      <c r="N46" s="27">
        <f t="shared" si="5"/>
        <v>-4.733315181218594E-2</v>
      </c>
      <c r="O46" s="2">
        <v>-4.1753757603148886E-3</v>
      </c>
      <c r="P46" s="27">
        <f t="shared" si="6"/>
        <v>-1.2222813286786587E-2</v>
      </c>
      <c r="Q46" s="2">
        <v>-3.121128870593078E-3</v>
      </c>
      <c r="R46" s="27">
        <f t="shared" si="7"/>
        <v>-1.1168566397064776E-2</v>
      </c>
      <c r="S46" s="2">
        <v>1.8297407616895384E-2</v>
      </c>
      <c r="T46" s="27">
        <f t="shared" si="8"/>
        <v>1.0249970090423685E-2</v>
      </c>
    </row>
    <row r="47" spans="1:20">
      <c r="A47" s="1">
        <v>42748</v>
      </c>
      <c r="B47">
        <v>1.8498406076093335E-3</v>
      </c>
      <c r="C47" s="2">
        <v>-2.1008403361344463E-2</v>
      </c>
      <c r="D47" s="2">
        <v>-9.6779994109806941E-5</v>
      </c>
      <c r="E47" s="2">
        <f t="shared" si="0"/>
        <v>2.0911623367234657E-2</v>
      </c>
      <c r="F47" s="2">
        <v>2.0040057925372078E-3</v>
      </c>
      <c r="G47" s="2">
        <f t="shared" si="1"/>
        <v>2.3012409153881672E-2</v>
      </c>
      <c r="H47" s="2">
        <v>2.1793028415813061E-3</v>
      </c>
      <c r="I47" s="2">
        <f t="shared" si="2"/>
        <v>2.3187706202925769E-2</v>
      </c>
      <c r="J47">
        <v>3.8581333919054865E-3</v>
      </c>
      <c r="K47" s="27">
        <f t="shared" si="3"/>
        <v>2.486653675324995E-2</v>
      </c>
      <c r="L47" s="27">
        <f t="shared" si="4"/>
        <v>2.2858243968953796E-2</v>
      </c>
      <c r="M47" s="2">
        <v>-1.6728624535315959E-2</v>
      </c>
      <c r="N47" s="27">
        <f t="shared" si="5"/>
        <v>4.279778826028504E-3</v>
      </c>
      <c r="O47" s="2">
        <v>-1.7609769591690628E-3</v>
      </c>
      <c r="P47" s="27">
        <f t="shared" si="6"/>
        <v>1.9247426402175402E-2</v>
      </c>
      <c r="Q47" s="2">
        <v>8.8895074967254017E-3</v>
      </c>
      <c r="R47" s="27">
        <f t="shared" si="7"/>
        <v>2.9897910858069865E-2</v>
      </c>
      <c r="S47" s="2">
        <v>4.3016566730681265E-3</v>
      </c>
      <c r="T47" s="27">
        <f t="shared" si="8"/>
        <v>2.531006003441259E-2</v>
      </c>
    </row>
    <row r="48" spans="1:20">
      <c r="A48" s="1">
        <v>42752</v>
      </c>
      <c r="B48">
        <v>-2.9675026894465883E-3</v>
      </c>
      <c r="C48" s="2">
        <v>2.5321888412017046E-2</v>
      </c>
      <c r="D48" s="2">
        <v>-2.2430534404335681E-2</v>
      </c>
      <c r="E48" s="2">
        <f t="shared" si="0"/>
        <v>-4.7752422816352724E-2</v>
      </c>
      <c r="F48" s="2">
        <v>-6.8000690247422202E-3</v>
      </c>
      <c r="G48" s="2">
        <f t="shared" si="1"/>
        <v>-3.2121957436759267E-2</v>
      </c>
      <c r="H48" s="2">
        <v>2.7179252537010243E-4</v>
      </c>
      <c r="I48" s="2">
        <f t="shared" si="2"/>
        <v>-2.5050095886646945E-2</v>
      </c>
      <c r="J48">
        <v>-1.5580555175462051E-3</v>
      </c>
      <c r="K48" s="27">
        <f t="shared" si="3"/>
        <v>-2.6879943929563253E-2</v>
      </c>
      <c r="L48" s="27">
        <f t="shared" si="4"/>
        <v>-2.8289391101463633E-2</v>
      </c>
      <c r="M48" s="2">
        <v>-7.1833648393194685E-2</v>
      </c>
      <c r="N48" s="27">
        <f t="shared" si="5"/>
        <v>-9.7155536805211731E-2</v>
      </c>
      <c r="O48" s="2">
        <v>8.0644681505528271E-3</v>
      </c>
      <c r="P48" s="27">
        <f t="shared" si="6"/>
        <v>-1.7257420261464221E-2</v>
      </c>
      <c r="Q48" s="2">
        <v>-7.4257332649174087E-3</v>
      </c>
      <c r="R48" s="27">
        <f t="shared" si="7"/>
        <v>-3.2747621676934457E-2</v>
      </c>
      <c r="S48" s="2">
        <v>-9.0805050099033047E-3</v>
      </c>
      <c r="T48" s="27">
        <f t="shared" si="8"/>
        <v>-3.4402393421920349E-2</v>
      </c>
    </row>
    <row r="49" spans="1:20">
      <c r="A49" s="1">
        <v>42753</v>
      </c>
      <c r="B49">
        <v>1.7637540571728276E-3</v>
      </c>
      <c r="C49" s="2">
        <v>2.9300962745918917E-2</v>
      </c>
      <c r="D49" s="2">
        <v>1.8197976016529515E-2</v>
      </c>
      <c r="E49" s="2">
        <f t="shared" si="0"/>
        <v>-1.1102986729389402E-2</v>
      </c>
      <c r="F49" s="2">
        <v>-1.476659952757549E-3</v>
      </c>
      <c r="G49" s="2">
        <f t="shared" si="1"/>
        <v>-3.0777622698676465E-2</v>
      </c>
      <c r="H49" s="2">
        <v>-1.0869305832555938E-3</v>
      </c>
      <c r="I49" s="2">
        <f t="shared" si="2"/>
        <v>-3.038789332917451E-2</v>
      </c>
      <c r="J49">
        <v>-1.248470622706878E-3</v>
      </c>
      <c r="K49" s="27">
        <f t="shared" si="3"/>
        <v>-3.0549433368625794E-2</v>
      </c>
      <c r="L49" s="27">
        <f t="shared" si="4"/>
        <v>-2.7537208688746088E-2</v>
      </c>
      <c r="M49" s="2">
        <v>6.1099796334012722E-3</v>
      </c>
      <c r="N49" s="27">
        <f t="shared" si="5"/>
        <v>-2.3190983112517646E-2</v>
      </c>
      <c r="O49" s="2">
        <v>-8.3327108426006031E-5</v>
      </c>
      <c r="P49" s="27">
        <f t="shared" si="6"/>
        <v>-2.9384289854344922E-2</v>
      </c>
      <c r="Q49" s="2">
        <v>3.2996466343566795E-2</v>
      </c>
      <c r="R49" s="27">
        <f t="shared" si="7"/>
        <v>3.6955035976478784E-3</v>
      </c>
      <c r="S49" s="2">
        <v>-2.7663773652929105E-3</v>
      </c>
      <c r="T49" s="27">
        <f t="shared" si="8"/>
        <v>-3.2067340111211824E-2</v>
      </c>
    </row>
    <row r="50" spans="1:20">
      <c r="A50" s="1">
        <v>42754</v>
      </c>
      <c r="B50">
        <v>-3.6093087192584027E-3</v>
      </c>
      <c r="C50" s="2">
        <v>3.2533550223668188E-3</v>
      </c>
      <c r="D50" s="2">
        <v>2.1466695079107662E-2</v>
      </c>
      <c r="E50" s="2">
        <f t="shared" si="0"/>
        <v>1.8213340056740843E-2</v>
      </c>
      <c r="F50" s="2">
        <v>-6.7223539182135082E-3</v>
      </c>
      <c r="G50" s="2">
        <f t="shared" si="1"/>
        <v>-9.975708940580327E-3</v>
      </c>
      <c r="H50" s="2">
        <v>-5.1687479138760725E-3</v>
      </c>
      <c r="I50" s="2">
        <f t="shared" si="2"/>
        <v>-8.4221029362428913E-3</v>
      </c>
      <c r="J50">
        <v>1.7708125000000703E-3</v>
      </c>
      <c r="K50" s="27">
        <f t="shared" si="3"/>
        <v>-1.4825425223667485E-3</v>
      </c>
      <c r="L50" s="27">
        <f t="shared" si="4"/>
        <v>-6.8626637416252211E-3</v>
      </c>
      <c r="M50" s="2">
        <v>-1.1133603238866517E-2</v>
      </c>
      <c r="N50" s="27">
        <f t="shared" si="5"/>
        <v>-1.4386958261233335E-2</v>
      </c>
      <c r="O50" s="2">
        <v>-1.7501844615890119E-3</v>
      </c>
      <c r="P50" s="27">
        <f t="shared" si="6"/>
        <v>-5.0035394839558307E-3</v>
      </c>
      <c r="Q50" s="2">
        <v>2.9184806401208385E-3</v>
      </c>
      <c r="R50" s="27">
        <f t="shared" si="7"/>
        <v>-3.3487438224598029E-4</v>
      </c>
      <c r="S50" s="2">
        <v>1.9319339657189571E-3</v>
      </c>
      <c r="T50" s="27">
        <f t="shared" si="8"/>
        <v>-1.3214210566478617E-3</v>
      </c>
    </row>
    <row r="51" spans="1:20">
      <c r="A51" s="1">
        <v>42755</v>
      </c>
      <c r="B51">
        <v>3.3662375142390669E-3</v>
      </c>
      <c r="C51" s="2">
        <v>-2.5942440210782351E-2</v>
      </c>
      <c r="D51" s="2">
        <v>-1.0935709107611623E-2</v>
      </c>
      <c r="E51" s="2">
        <f t="shared" si="0"/>
        <v>1.5006731103170728E-2</v>
      </c>
      <c r="F51" s="2">
        <v>1.1775996757287358E-2</v>
      </c>
      <c r="G51" s="2">
        <f t="shared" si="1"/>
        <v>3.7718436968069709E-2</v>
      </c>
      <c r="H51" s="2">
        <v>1.0117665259984053E-2</v>
      </c>
      <c r="I51" s="2">
        <f t="shared" si="2"/>
        <v>3.6060105470766407E-2</v>
      </c>
      <c r="J51">
        <v>-1.1438078640701817E-3</v>
      </c>
      <c r="K51" s="27">
        <f t="shared" si="3"/>
        <v>2.479863234671217E-2</v>
      </c>
      <c r="L51" s="27">
        <f t="shared" si="4"/>
        <v>2.9308677725021416E-2</v>
      </c>
      <c r="M51" s="2">
        <v>-2.047082906857684E-3</v>
      </c>
      <c r="N51" s="27">
        <f t="shared" si="5"/>
        <v>2.3895357303924666E-2</v>
      </c>
      <c r="O51" s="2">
        <v>1.8367331357949928E-3</v>
      </c>
      <c r="P51" s="27">
        <f t="shared" si="6"/>
        <v>2.7779173346577344E-2</v>
      </c>
      <c r="Q51" s="2">
        <v>2.9747834256706546E-2</v>
      </c>
      <c r="R51" s="27">
        <f t="shared" si="7"/>
        <v>5.5690274467488893E-2</v>
      </c>
      <c r="S51" s="2">
        <v>-8.7753512719493962E-4</v>
      </c>
      <c r="T51" s="27">
        <f t="shared" si="8"/>
        <v>2.506490508358741E-2</v>
      </c>
    </row>
    <row r="52" spans="1:20">
      <c r="A52" s="1">
        <v>42758</v>
      </c>
      <c r="B52">
        <v>-2.6901250121218502E-3</v>
      </c>
      <c r="C52" s="2">
        <v>2.829796088223057E-2</v>
      </c>
      <c r="D52" s="2">
        <v>1.0383597135328073E-2</v>
      </c>
      <c r="E52" s="2">
        <f t="shared" si="0"/>
        <v>-1.7914363746902497E-2</v>
      </c>
      <c r="F52" s="2">
        <v>1.3110570042448481E-2</v>
      </c>
      <c r="G52" s="2">
        <f t="shared" si="1"/>
        <v>-1.518739083978209E-2</v>
      </c>
      <c r="H52" s="2">
        <v>-4.6021005779531285E-3</v>
      </c>
      <c r="I52" s="2">
        <f t="shared" si="2"/>
        <v>-3.2900061460183698E-2</v>
      </c>
      <c r="J52">
        <v>2.4463939714010903E-2</v>
      </c>
      <c r="K52" s="27">
        <f t="shared" si="3"/>
        <v>-3.8340211682196673E-3</v>
      </c>
      <c r="L52" s="27">
        <f t="shared" si="4"/>
        <v>-3.0988085894352421E-2</v>
      </c>
      <c r="M52" s="2">
        <v>1.6410256410256424E-2</v>
      </c>
      <c r="N52" s="27">
        <f t="shared" si="5"/>
        <v>-1.1887704471974146E-2</v>
      </c>
      <c r="O52" s="2">
        <v>6.6668460614106786E-4</v>
      </c>
      <c r="P52" s="27">
        <f t="shared" si="6"/>
        <v>-2.7631276276089502E-2</v>
      </c>
      <c r="Q52" s="2">
        <v>-4.1868193350561906E-4</v>
      </c>
      <c r="R52" s="27">
        <f t="shared" si="7"/>
        <v>-2.8716642815736191E-2</v>
      </c>
      <c r="S52" s="2">
        <v>1.1814466615310644E-2</v>
      </c>
      <c r="T52" s="27">
        <f t="shared" si="8"/>
        <v>-1.6483494266919925E-2</v>
      </c>
    </row>
    <row r="53" spans="1:20">
      <c r="A53" s="1">
        <v>42759</v>
      </c>
      <c r="B53">
        <v>6.5645935553880538E-3</v>
      </c>
      <c r="C53" s="2">
        <v>2.1044111695669786E-2</v>
      </c>
      <c r="D53" s="2">
        <v>2.1315130484179837E-2</v>
      </c>
      <c r="E53" s="2">
        <f t="shared" si="0"/>
        <v>2.7101878851005026E-4</v>
      </c>
      <c r="F53" s="2">
        <v>1.7826289477102821E-2</v>
      </c>
      <c r="G53" s="2">
        <f t="shared" si="1"/>
        <v>-3.2178222185669653E-3</v>
      </c>
      <c r="H53" s="2">
        <v>2.3116693377360019E-2</v>
      </c>
      <c r="I53" s="2">
        <f t="shared" si="2"/>
        <v>2.0725816816902325E-3</v>
      </c>
      <c r="J53">
        <v>3.0687896324036387E-2</v>
      </c>
      <c r="K53" s="27">
        <f t="shared" si="3"/>
        <v>9.6437846283666008E-3</v>
      </c>
      <c r="L53" s="27">
        <f t="shared" si="4"/>
        <v>-1.4479518140281733E-2</v>
      </c>
      <c r="M53" s="2">
        <v>5.3481331987890957E-2</v>
      </c>
      <c r="N53" s="27">
        <f t="shared" si="5"/>
        <v>3.2437220292221167E-2</v>
      </c>
      <c r="O53" s="2">
        <v>-9.1601290300986145E-4</v>
      </c>
      <c r="P53" s="27">
        <f t="shared" si="6"/>
        <v>-2.1960124598679649E-2</v>
      </c>
      <c r="Q53" s="2">
        <v>3.5340376818198918E-2</v>
      </c>
      <c r="R53" s="27">
        <f t="shared" si="7"/>
        <v>1.4296265122529132E-2</v>
      </c>
      <c r="S53" s="2">
        <v>5.5753863306635875E-3</v>
      </c>
      <c r="T53" s="27">
        <f t="shared" si="8"/>
        <v>-1.5468725365006198E-2</v>
      </c>
    </row>
    <row r="54" spans="1:20">
      <c r="A54" s="1">
        <v>42760</v>
      </c>
      <c r="B54">
        <v>8.0260906262640107E-3</v>
      </c>
      <c r="C54" s="2">
        <v>-5.9453032104637826E-3</v>
      </c>
      <c r="D54" s="2">
        <v>4.2858552764925518E-3</v>
      </c>
      <c r="E54" s="2">
        <f t="shared" si="0"/>
        <v>1.0231158486956334E-2</v>
      </c>
      <c r="F54" s="2">
        <v>1.9460412309554771E-2</v>
      </c>
      <c r="G54" s="2">
        <f t="shared" si="1"/>
        <v>2.5405715520018551E-2</v>
      </c>
      <c r="H54" s="2">
        <v>4.7847934922717753E-3</v>
      </c>
      <c r="I54" s="2">
        <f t="shared" si="2"/>
        <v>1.0730096702735559E-2</v>
      </c>
      <c r="J54">
        <v>2.5929192546583713E-2</v>
      </c>
      <c r="K54" s="27">
        <f t="shared" si="3"/>
        <v>3.1874495757047497E-2</v>
      </c>
      <c r="L54" s="27">
        <f t="shared" si="4"/>
        <v>1.3971393836727793E-2</v>
      </c>
      <c r="M54" s="2">
        <v>-8.6206896551723998E-3</v>
      </c>
      <c r="N54" s="27">
        <f t="shared" si="5"/>
        <v>-2.6753864447086172E-3</v>
      </c>
      <c r="O54" s="2">
        <v>1.5920625387520038E-2</v>
      </c>
      <c r="P54" s="27">
        <f t="shared" si="6"/>
        <v>2.1865928597983822E-2</v>
      </c>
      <c r="Q54" s="2">
        <v>2.3918982439709024E-2</v>
      </c>
      <c r="R54" s="27">
        <f t="shared" si="7"/>
        <v>2.9864285650172809E-2</v>
      </c>
      <c r="S54" s="2">
        <v>1.7119811737950939E-2</v>
      </c>
      <c r="T54" s="27">
        <f t="shared" si="8"/>
        <v>2.3065114948414719E-2</v>
      </c>
    </row>
    <row r="55" spans="1:20">
      <c r="A55" s="1">
        <v>42761</v>
      </c>
      <c r="B55">
        <v>-7.3538416963325347E-4</v>
      </c>
      <c r="C55" s="2">
        <v>-1.0765550239234504E-2</v>
      </c>
      <c r="D55" s="2">
        <v>1.7255739172582489E-2</v>
      </c>
      <c r="E55" s="2">
        <f t="shared" si="0"/>
        <v>2.8021289411816995E-2</v>
      </c>
      <c r="F55" s="2">
        <v>8.6535882249166012E-3</v>
      </c>
      <c r="G55" s="2">
        <f t="shared" si="1"/>
        <v>1.9419138464151105E-2</v>
      </c>
      <c r="H55" s="2">
        <v>-6.349244607331328E-3</v>
      </c>
      <c r="I55" s="2">
        <f t="shared" si="2"/>
        <v>4.4163056319031762E-3</v>
      </c>
      <c r="J55">
        <v>-1.2588872046682081E-2</v>
      </c>
      <c r="K55" s="27">
        <f t="shared" si="3"/>
        <v>-1.8233218074475768E-3</v>
      </c>
      <c r="L55" s="27">
        <f t="shared" si="4"/>
        <v>1.003016606960125E-2</v>
      </c>
      <c r="M55" s="2">
        <v>1.6425120772946854E-2</v>
      </c>
      <c r="N55" s="27">
        <f t="shared" si="5"/>
        <v>2.719067101218136E-2</v>
      </c>
      <c r="O55" s="2">
        <v>4.9235908043944606E-4</v>
      </c>
      <c r="P55" s="27">
        <f t="shared" si="6"/>
        <v>1.125790931967395E-2</v>
      </c>
      <c r="Q55" s="2">
        <v>8.346558175039322E-3</v>
      </c>
      <c r="R55" s="27">
        <f t="shared" si="7"/>
        <v>1.9112108414273826E-2</v>
      </c>
      <c r="S55" s="2">
        <v>3.1439821368530849E-3</v>
      </c>
      <c r="T55" s="27">
        <f t="shared" si="8"/>
        <v>1.3909532376087589E-2</v>
      </c>
    </row>
    <row r="56" spans="1:20">
      <c r="A56" s="1">
        <v>42762</v>
      </c>
      <c r="B56">
        <v>-8.6646422615230918E-4</v>
      </c>
      <c r="C56" s="2">
        <v>8.0612656187030386E-4</v>
      </c>
      <c r="D56" s="2">
        <v>1.9334211439733233E-2</v>
      </c>
      <c r="E56" s="2">
        <f t="shared" si="0"/>
        <v>1.8528084877862928E-2</v>
      </c>
      <c r="F56" s="2">
        <v>-9.2688050748031218E-3</v>
      </c>
      <c r="G56" s="2">
        <f t="shared" si="1"/>
        <v>-1.0074931636673426E-2</v>
      </c>
      <c r="H56" s="2">
        <v>1.1182032703412777E-2</v>
      </c>
      <c r="I56" s="2">
        <f t="shared" si="2"/>
        <v>1.0375906141542473E-2</v>
      </c>
      <c r="J56">
        <v>-6.6180048661801149E-3</v>
      </c>
      <c r="K56" s="27">
        <f t="shared" si="3"/>
        <v>-7.4241314280504185E-3</v>
      </c>
      <c r="L56" s="27">
        <f t="shared" si="4"/>
        <v>-1.6725907880226131E-3</v>
      </c>
      <c r="M56" s="2">
        <v>1.4258555133079883E-2</v>
      </c>
      <c r="N56" s="27">
        <f t="shared" si="5"/>
        <v>1.3452428571209579E-2</v>
      </c>
      <c r="O56" s="2">
        <v>8.1876420234283949E-5</v>
      </c>
      <c r="P56" s="27">
        <f t="shared" si="6"/>
        <v>-7.2425014163601993E-4</v>
      </c>
      <c r="Q56" s="2">
        <v>7.5428487943628971E-3</v>
      </c>
      <c r="R56" s="27">
        <f t="shared" si="7"/>
        <v>6.7367222324925934E-3</v>
      </c>
      <c r="S56" s="2">
        <v>-4.0278900117149798E-3</v>
      </c>
      <c r="T56" s="27">
        <f t="shared" si="8"/>
        <v>-4.8340165735852834E-3</v>
      </c>
    </row>
    <row r="57" spans="1:20">
      <c r="A57" s="1">
        <v>42765</v>
      </c>
      <c r="B57">
        <v>-6.0095434915230575E-3</v>
      </c>
      <c r="C57" s="2">
        <v>-1.288763592428515E-2</v>
      </c>
      <c r="D57" s="2">
        <v>-1.5657184417605493E-2</v>
      </c>
      <c r="E57" s="2">
        <f t="shared" si="0"/>
        <v>-2.7695484933203431E-3</v>
      </c>
      <c r="F57" s="2">
        <v>-1.6659569913240555E-3</v>
      </c>
      <c r="G57" s="2">
        <f t="shared" si="1"/>
        <v>1.1221678932961094E-2</v>
      </c>
      <c r="H57" s="2">
        <v>-1.4744629768152887E-2</v>
      </c>
      <c r="I57" s="2">
        <f t="shared" si="2"/>
        <v>-1.8569938438677373E-3</v>
      </c>
      <c r="J57">
        <v>-1.028708729303409E-2</v>
      </c>
      <c r="K57" s="27">
        <f t="shared" si="3"/>
        <v>2.6005486312510595E-3</v>
      </c>
      <c r="L57" s="27">
        <f t="shared" si="4"/>
        <v>6.8780924327620924E-3</v>
      </c>
      <c r="M57" s="2">
        <v>-5.6232427366448455E-3</v>
      </c>
      <c r="N57" s="27">
        <f t="shared" si="5"/>
        <v>7.2643931876403044E-3</v>
      </c>
      <c r="O57" s="2">
        <v>-2.6240719064407987E-3</v>
      </c>
      <c r="P57" s="27">
        <f t="shared" si="6"/>
        <v>1.026356401784435E-2</v>
      </c>
      <c r="Q57" s="2">
        <v>-1.2104526196345363E-2</v>
      </c>
      <c r="R57" s="27">
        <f t="shared" si="7"/>
        <v>7.8310972793978716E-4</v>
      </c>
      <c r="S57" s="2">
        <v>-6.4491604999184606E-3</v>
      </c>
      <c r="T57" s="27">
        <f t="shared" si="8"/>
        <v>6.4384754243666893E-3</v>
      </c>
    </row>
    <row r="58" spans="1:20">
      <c r="A58" s="1">
        <v>42766</v>
      </c>
      <c r="B58">
        <v>-8.8990533877456165E-4</v>
      </c>
      <c r="C58" s="2">
        <v>9.3839249286006253E-3</v>
      </c>
      <c r="D58" s="2">
        <v>-7.6349450258845902E-3</v>
      </c>
      <c r="E58" s="2">
        <f t="shared" si="0"/>
        <v>-1.7018869954485216E-2</v>
      </c>
      <c r="F58" s="2">
        <v>-3.0295200646161112E-2</v>
      </c>
      <c r="G58" s="2">
        <f t="shared" si="1"/>
        <v>-3.9679125574761734E-2</v>
      </c>
      <c r="H58" s="2">
        <v>-1.6034236489386466E-2</v>
      </c>
      <c r="I58" s="2">
        <f t="shared" si="2"/>
        <v>-2.5418161417987091E-2</v>
      </c>
      <c r="J58">
        <v>2.8707286538524595E-3</v>
      </c>
      <c r="K58" s="27">
        <f t="shared" si="3"/>
        <v>-6.5131962747481658E-3</v>
      </c>
      <c r="L58" s="27">
        <f t="shared" si="4"/>
        <v>-1.0273830267375187E-2</v>
      </c>
      <c r="M58" s="2">
        <v>-2.2620169651272407E-2</v>
      </c>
      <c r="N58" s="27">
        <f t="shared" si="5"/>
        <v>-3.2004094579873035E-2</v>
      </c>
      <c r="O58" s="2">
        <v>-2.3019753633216873E-3</v>
      </c>
      <c r="P58" s="27">
        <f t="shared" si="6"/>
        <v>-1.1685900291922312E-2</v>
      </c>
      <c r="Q58" s="2">
        <v>-1.8305265128215335E-2</v>
      </c>
      <c r="R58" s="27">
        <f t="shared" si="7"/>
        <v>-2.7689190056815961E-2</v>
      </c>
      <c r="S58" s="2">
        <v>-8.3094787428076716E-3</v>
      </c>
      <c r="T58" s="27">
        <f t="shared" si="8"/>
        <v>-1.7693403671408297E-2</v>
      </c>
    </row>
    <row r="59" spans="1:20">
      <c r="A59" s="1">
        <v>42767</v>
      </c>
      <c r="B59">
        <v>2.9836364737412019E-4</v>
      </c>
      <c r="C59" s="2">
        <v>-1.6168148746968484E-3</v>
      </c>
      <c r="D59" s="2">
        <v>4.3689263696274357E-2</v>
      </c>
      <c r="E59" s="2">
        <f t="shared" si="0"/>
        <v>4.5306078570971207E-2</v>
      </c>
      <c r="F59" s="2">
        <v>9.6635910896975992E-3</v>
      </c>
      <c r="G59" s="2">
        <f t="shared" si="1"/>
        <v>1.1280405964394448E-2</v>
      </c>
      <c r="H59" s="2">
        <v>-8.1476915576771808E-3</v>
      </c>
      <c r="I59" s="2">
        <f t="shared" si="2"/>
        <v>-6.5308766829803326E-3</v>
      </c>
      <c r="J59">
        <v>2.5664002085954052E-3</v>
      </c>
      <c r="K59" s="27">
        <f t="shared" si="3"/>
        <v>4.1832150832922538E-3</v>
      </c>
      <c r="L59" s="27">
        <f t="shared" si="4"/>
        <v>1.9151785220709685E-3</v>
      </c>
      <c r="M59" s="2">
        <v>0.16297010607521711</v>
      </c>
      <c r="N59" s="27">
        <f t="shared" si="5"/>
        <v>0.16458692094991395</v>
      </c>
      <c r="O59" s="2">
        <v>6.098061618113837E-2</v>
      </c>
      <c r="P59" s="27">
        <f t="shared" si="6"/>
        <v>6.259743105583522E-2</v>
      </c>
      <c r="Q59" s="2">
        <v>2.1002519257386599E-2</v>
      </c>
      <c r="R59" s="27">
        <f t="shared" si="7"/>
        <v>2.2619334132083446E-2</v>
      </c>
      <c r="S59" s="2">
        <v>1.0771355971519812E-2</v>
      </c>
      <c r="T59" s="27">
        <f t="shared" si="8"/>
        <v>1.2388170846216661E-2</v>
      </c>
    </row>
    <row r="60" spans="1:20">
      <c r="A60" s="1">
        <v>42768</v>
      </c>
      <c r="B60">
        <v>5.7030947864919837E-4</v>
      </c>
      <c r="C60" s="2">
        <v>8.5020242914979373E-3</v>
      </c>
      <c r="D60" s="2">
        <v>1.2637201014091246E-2</v>
      </c>
      <c r="E60" s="2">
        <f t="shared" si="0"/>
        <v>4.1351767225933089E-3</v>
      </c>
      <c r="F60" s="2">
        <v>-4.9822398054454068E-3</v>
      </c>
      <c r="G60" s="2">
        <f t="shared" si="1"/>
        <v>-1.3484264096943345E-2</v>
      </c>
      <c r="H60" s="2">
        <v>4.381225464223629E-3</v>
      </c>
      <c r="I60" s="2">
        <f t="shared" si="2"/>
        <v>-4.1207988272743083E-3</v>
      </c>
      <c r="J60">
        <v>-7.1872009451609126E-3</v>
      </c>
      <c r="K60" s="27">
        <f t="shared" si="3"/>
        <v>-1.568922523665885E-2</v>
      </c>
      <c r="L60" s="27">
        <f t="shared" si="4"/>
        <v>-7.9317148128487391E-3</v>
      </c>
      <c r="M60" s="2">
        <v>1.8242122719734567E-2</v>
      </c>
      <c r="N60" s="27">
        <f t="shared" si="5"/>
        <v>9.7400984282366293E-3</v>
      </c>
      <c r="O60" s="2">
        <v>-1.7087680512508066E-3</v>
      </c>
      <c r="P60" s="27">
        <f t="shared" si="6"/>
        <v>-1.0210792342748744E-2</v>
      </c>
      <c r="Q60" s="2">
        <v>1.7674201354560845E-3</v>
      </c>
      <c r="R60" s="27">
        <f t="shared" si="7"/>
        <v>-6.734604156041853E-3</v>
      </c>
      <c r="S60" s="2">
        <v>9.1308178280046538E-3</v>
      </c>
      <c r="T60" s="27">
        <f t="shared" si="8"/>
        <v>6.2879353650671654E-4</v>
      </c>
    </row>
    <row r="61" spans="1:20">
      <c r="A61" s="1">
        <v>42769</v>
      </c>
      <c r="B61">
        <v>7.2647580016458203E-3</v>
      </c>
      <c r="C61" s="2">
        <v>-3.1312725812926649E-2</v>
      </c>
      <c r="D61" s="2">
        <v>-8.7529484892378256E-3</v>
      </c>
      <c r="E61" s="2">
        <f t="shared" si="0"/>
        <v>2.2559777323688822E-2</v>
      </c>
      <c r="F61" s="2">
        <v>8.0380157305553635E-3</v>
      </c>
      <c r="G61" s="2">
        <f t="shared" si="1"/>
        <v>3.9350741543482011E-2</v>
      </c>
      <c r="H61" s="2">
        <v>2.7457562126092369E-3</v>
      </c>
      <c r="I61" s="2">
        <f t="shared" si="2"/>
        <v>3.4058482025535887E-2</v>
      </c>
      <c r="J61">
        <v>-4.4624853019628857E-3</v>
      </c>
      <c r="K61" s="27">
        <f t="shared" si="3"/>
        <v>2.6850240510963762E-2</v>
      </c>
      <c r="L61" s="27">
        <f t="shared" si="4"/>
        <v>3.8577483814572468E-2</v>
      </c>
      <c r="M61" s="2">
        <v>-3.2573289902279438E-3</v>
      </c>
      <c r="N61" s="27">
        <f t="shared" si="5"/>
        <v>2.8055396822698704E-2</v>
      </c>
      <c r="O61" s="2">
        <v>4.2792402490394238E-3</v>
      </c>
      <c r="P61" s="27">
        <f t="shared" si="6"/>
        <v>3.5591966061966074E-2</v>
      </c>
      <c r="Q61" s="2">
        <v>1.0340532133535862E-2</v>
      </c>
      <c r="R61" s="27">
        <f t="shared" si="7"/>
        <v>4.1653257946462512E-2</v>
      </c>
      <c r="S61" s="2">
        <v>-3.5418774421066383E-2</v>
      </c>
      <c r="T61" s="27">
        <f t="shared" si="8"/>
        <v>-4.106048608139734E-3</v>
      </c>
    </row>
    <row r="62" spans="1:20">
      <c r="A62" s="1">
        <v>42772</v>
      </c>
      <c r="B62">
        <v>-2.1153568633501788E-3</v>
      </c>
      <c r="C62" s="2">
        <v>-9.9461251554082159E-3</v>
      </c>
      <c r="D62" s="2">
        <v>2.5616413325868892E-2</v>
      </c>
      <c r="E62" s="2">
        <f t="shared" si="0"/>
        <v>3.5562538481277106E-2</v>
      </c>
      <c r="F62" s="2">
        <v>-3.6600876422824714E-3</v>
      </c>
      <c r="G62" s="2">
        <f t="shared" si="1"/>
        <v>6.2860375131257445E-3</v>
      </c>
      <c r="H62" s="2">
        <v>-6.8456780719644344E-3</v>
      </c>
      <c r="I62" s="2">
        <f t="shared" si="2"/>
        <v>3.1004470834437815E-3</v>
      </c>
      <c r="J62">
        <v>5.0802172037076876E-3</v>
      </c>
      <c r="K62" s="27">
        <f t="shared" si="3"/>
        <v>1.5026342359115904E-2</v>
      </c>
      <c r="L62" s="27">
        <f t="shared" si="4"/>
        <v>7.8307682920580376E-3</v>
      </c>
      <c r="M62" s="2">
        <v>0.11356209150326801</v>
      </c>
      <c r="N62" s="27">
        <f t="shared" si="5"/>
        <v>0.12350821665867623</v>
      </c>
      <c r="O62" s="2">
        <v>9.3739605646774981E-3</v>
      </c>
      <c r="P62" s="27">
        <f t="shared" si="6"/>
        <v>1.9320085720085714E-2</v>
      </c>
      <c r="Q62" s="2">
        <v>1.940273061430194E-3</v>
      </c>
      <c r="R62" s="27">
        <f t="shared" si="7"/>
        <v>1.1886398216838409E-2</v>
      </c>
      <c r="S62" s="2">
        <v>-3.1597099013620684E-3</v>
      </c>
      <c r="T62" s="27">
        <f t="shared" si="8"/>
        <v>6.7864152540461475E-3</v>
      </c>
    </row>
    <row r="63" spans="1:20">
      <c r="A63" s="1">
        <v>42773</v>
      </c>
      <c r="B63">
        <v>2.2682895392798412E-4</v>
      </c>
      <c r="C63" s="2">
        <v>-1.5906236919212981E-2</v>
      </c>
      <c r="D63" s="2">
        <v>1.5514360211008271E-2</v>
      </c>
      <c r="E63" s="2">
        <f t="shared" si="0"/>
        <v>3.1420597130221252E-2</v>
      </c>
      <c r="F63" s="2">
        <v>-5.248992858100796E-4</v>
      </c>
      <c r="G63" s="2">
        <f t="shared" si="1"/>
        <v>1.5381337633402901E-2</v>
      </c>
      <c r="H63" s="2">
        <v>2.2055882427705576E-3</v>
      </c>
      <c r="I63" s="2">
        <f t="shared" si="2"/>
        <v>1.8111825161983539E-2</v>
      </c>
      <c r="J63">
        <v>-6.9375618050044631E-4</v>
      </c>
      <c r="K63" s="27">
        <f t="shared" si="3"/>
        <v>1.5212480738712534E-2</v>
      </c>
      <c r="L63" s="27">
        <f t="shared" si="4"/>
        <v>1.6133065873140964E-2</v>
      </c>
      <c r="M63" s="2">
        <v>-2.494497432135008E-2</v>
      </c>
      <c r="N63" s="27">
        <f t="shared" si="5"/>
        <v>-9.0387374021370995E-3</v>
      </c>
      <c r="O63" s="2">
        <v>9.5172920390860609E-3</v>
      </c>
      <c r="P63" s="27">
        <f t="shared" si="6"/>
        <v>2.5423528958299042E-2</v>
      </c>
      <c r="Q63" s="2">
        <v>-3.1468367738649913E-3</v>
      </c>
      <c r="R63" s="27">
        <f t="shared" si="7"/>
        <v>1.2759400145347989E-2</v>
      </c>
      <c r="S63" s="2">
        <v>6.0175138796212963E-3</v>
      </c>
      <c r="T63" s="27">
        <f t="shared" si="8"/>
        <v>2.1923750798834275E-2</v>
      </c>
    </row>
    <row r="64" spans="1:20">
      <c r="A64" s="1">
        <v>42774</v>
      </c>
      <c r="B64">
        <v>6.9332249460155341E-4</v>
      </c>
      <c r="C64" s="2">
        <v>1.8715440238196528E-2</v>
      </c>
      <c r="D64" s="2">
        <v>-4.3649729090349922E-3</v>
      </c>
      <c r="E64" s="2">
        <f t="shared" si="0"/>
        <v>-2.308041314723152E-2</v>
      </c>
      <c r="F64" s="2">
        <v>-3.0191842320784453E-3</v>
      </c>
      <c r="G64" s="2">
        <f t="shared" si="1"/>
        <v>-2.1734624470274973E-2</v>
      </c>
      <c r="H64" s="2">
        <v>8.2549305928825416E-4</v>
      </c>
      <c r="I64" s="2">
        <f t="shared" si="2"/>
        <v>-1.7889947178908273E-2</v>
      </c>
      <c r="J64">
        <v>2.7174431673620318E-2</v>
      </c>
      <c r="K64" s="27">
        <f t="shared" si="3"/>
        <v>8.4589914354237898E-3</v>
      </c>
      <c r="L64" s="27">
        <f t="shared" si="4"/>
        <v>-1.8022117743594974E-2</v>
      </c>
      <c r="M64" s="2">
        <v>2.0316027088036221E-2</v>
      </c>
      <c r="N64" s="27">
        <f t="shared" si="5"/>
        <v>1.6005868498396927E-3</v>
      </c>
      <c r="O64" s="2">
        <v>3.8775156568431439E-3</v>
      </c>
      <c r="P64" s="27">
        <f t="shared" si="6"/>
        <v>-1.4837924581353384E-2</v>
      </c>
      <c r="Q64" s="2">
        <v>4.7593614276631342E-3</v>
      </c>
      <c r="R64" s="27">
        <f t="shared" si="7"/>
        <v>-1.3956078810533394E-2</v>
      </c>
      <c r="S64" s="2">
        <v>8.8738732307692067E-3</v>
      </c>
      <c r="T64" s="27">
        <f t="shared" si="8"/>
        <v>-9.8415670074273216E-3</v>
      </c>
    </row>
    <row r="65" spans="1:20">
      <c r="A65" s="1">
        <v>42775</v>
      </c>
      <c r="B65">
        <v>5.7525463132818691E-3</v>
      </c>
      <c r="C65" s="2">
        <v>5.8455114822546098E-3</v>
      </c>
      <c r="D65" s="2">
        <v>-1.8801021715263853E-2</v>
      </c>
      <c r="E65" s="2">
        <f t="shared" si="0"/>
        <v>-2.4646533197518462E-2</v>
      </c>
      <c r="F65" s="2">
        <v>-8.5582165790196677E-3</v>
      </c>
      <c r="G65" s="2">
        <f t="shared" si="1"/>
        <v>-1.4403728061274278E-2</v>
      </c>
      <c r="H65" s="2">
        <v>-2.5288720748832587E-2</v>
      </c>
      <c r="I65" s="2">
        <f t="shared" si="2"/>
        <v>-3.1134232231087196E-2</v>
      </c>
      <c r="J65">
        <v>-2.2207589070193483E-3</v>
      </c>
      <c r="K65" s="27">
        <f t="shared" si="3"/>
        <v>-8.0662703892739572E-3</v>
      </c>
      <c r="L65" s="27">
        <f t="shared" si="4"/>
        <v>-9.2965168972740722E-5</v>
      </c>
      <c r="M65" s="2">
        <v>-1.0324483775811251E-2</v>
      </c>
      <c r="N65" s="27">
        <f t="shared" si="5"/>
        <v>-1.616999525806586E-2</v>
      </c>
      <c r="O65" s="2">
        <v>7.2258016636777842E-3</v>
      </c>
      <c r="P65" s="27">
        <f t="shared" si="6"/>
        <v>1.3802901814231744E-3</v>
      </c>
      <c r="Q65" s="2">
        <v>-7.4918690882074231E-3</v>
      </c>
      <c r="R65" s="27">
        <f t="shared" si="7"/>
        <v>-1.3337380570462033E-2</v>
      </c>
      <c r="S65" s="2">
        <v>2.0128618117591719E-3</v>
      </c>
      <c r="T65" s="27">
        <f t="shared" si="8"/>
        <v>-3.8326496704954379E-3</v>
      </c>
    </row>
    <row r="66" spans="1:20">
      <c r="A66" s="1">
        <v>42776</v>
      </c>
      <c r="B66">
        <v>3.5660503333255615E-3</v>
      </c>
      <c r="C66" s="2">
        <v>1.0377750103777649E-2</v>
      </c>
      <c r="D66" s="2">
        <v>-2.3715407047087654E-2</v>
      </c>
      <c r="E66" s="2">
        <f t="shared" si="0"/>
        <v>-3.4093157150865305E-2</v>
      </c>
      <c r="F66" s="2">
        <v>-1.859207927064073E-3</v>
      </c>
      <c r="G66" s="2">
        <f t="shared" si="1"/>
        <v>-1.2236958030841722E-2</v>
      </c>
      <c r="H66" s="2">
        <v>-3.3840121743469696E-3</v>
      </c>
      <c r="I66" s="2">
        <f t="shared" si="2"/>
        <v>-1.3761762278124619E-2</v>
      </c>
      <c r="J66">
        <v>-9.4832111276644763E-3</v>
      </c>
      <c r="K66" s="27">
        <f t="shared" si="3"/>
        <v>-1.9860961231442126E-2</v>
      </c>
      <c r="L66" s="27">
        <f t="shared" si="4"/>
        <v>-6.8116997704520885E-3</v>
      </c>
      <c r="M66" s="2">
        <v>1.1922503725782425E-2</v>
      </c>
      <c r="N66" s="27">
        <f t="shared" si="5"/>
        <v>1.5447536220047752E-3</v>
      </c>
      <c r="O66" s="2">
        <v>-2.2654566933907171E-3</v>
      </c>
      <c r="P66" s="27">
        <f t="shared" si="6"/>
        <v>-1.2643206797168367E-2</v>
      </c>
      <c r="Q66" s="2">
        <v>8.7660907852856666E-4</v>
      </c>
      <c r="R66" s="27">
        <f t="shared" si="7"/>
        <v>-9.5011410252490835E-3</v>
      </c>
      <c r="S66" s="2">
        <v>7.4267521079687477E-3</v>
      </c>
      <c r="T66" s="27">
        <f t="shared" si="8"/>
        <v>-2.9509979958089018E-3</v>
      </c>
    </row>
    <row r="67" spans="1:20">
      <c r="A67" s="1">
        <v>42779</v>
      </c>
      <c r="B67">
        <v>5.2458449487963847E-3</v>
      </c>
      <c r="C67" s="2">
        <v>1.4790468364831565E-2</v>
      </c>
      <c r="D67" s="2">
        <v>-4.6118758028704264E-2</v>
      </c>
      <c r="E67" s="2">
        <f t="shared" ref="E67:E130" si="9">D67-C67</f>
        <v>-6.0909226393535826E-2</v>
      </c>
      <c r="F67" s="2">
        <v>4.7896344654690124E-3</v>
      </c>
      <c r="G67" s="2">
        <f t="shared" ref="G67:G130" si="10">F67-C67</f>
        <v>-1.0000833899362554E-2</v>
      </c>
      <c r="H67" s="2">
        <v>1.3016406275076648E-2</v>
      </c>
      <c r="I67" s="2">
        <f t="shared" ref="I67:I130" si="11">H67-C67</f>
        <v>-1.7740620897549169E-3</v>
      </c>
      <c r="J67">
        <v>7.2293571001430775E-3</v>
      </c>
      <c r="K67" s="27">
        <f t="shared" ref="K67:K130" si="12">J67-C67</f>
        <v>-7.5611112646884878E-3</v>
      </c>
      <c r="L67" s="27">
        <f t="shared" ref="L67:L130" si="13">(B67-C67)</f>
        <v>-9.5446234160351806E-3</v>
      </c>
      <c r="M67" s="2">
        <v>-6.6273932253313591E-3</v>
      </c>
      <c r="N67" s="27">
        <f t="shared" ref="N67:N130" si="14">M67-C67</f>
        <v>-2.1417861590162925E-2</v>
      </c>
      <c r="O67" s="2">
        <v>8.8554987099667484E-3</v>
      </c>
      <c r="P67" s="27">
        <f t="shared" ref="P67:P130" si="15">O67-C67</f>
        <v>-5.9349696548648169E-3</v>
      </c>
      <c r="Q67" s="2">
        <v>5.7902009639922069E-3</v>
      </c>
      <c r="R67" s="27">
        <f t="shared" ref="R67:R130" si="16">Q67-C67</f>
        <v>-9.0002674008393575E-3</v>
      </c>
      <c r="S67" s="2">
        <v>1.0961263092901463E-2</v>
      </c>
      <c r="T67" s="27">
        <f t="shared" ref="T67:T130" si="17">S67-C67</f>
        <v>-3.8292052719301022E-3</v>
      </c>
    </row>
    <row r="68" spans="1:20">
      <c r="A68" s="1">
        <v>42780</v>
      </c>
      <c r="B68">
        <v>4.0073351229464012E-3</v>
      </c>
      <c r="C68" s="2">
        <v>1.2955465587044366E-2</v>
      </c>
      <c r="D68" s="2">
        <v>3.6907415755573236E-3</v>
      </c>
      <c r="E68" s="2">
        <f t="shared" si="9"/>
        <v>-9.2647240114870424E-3</v>
      </c>
      <c r="F68" s="2">
        <v>1.5890648165359899E-3</v>
      </c>
      <c r="G68" s="2">
        <f t="shared" si="10"/>
        <v>-1.1366400770508376E-2</v>
      </c>
      <c r="H68" s="2">
        <v>3.6312554401953302E-3</v>
      </c>
      <c r="I68" s="2">
        <f t="shared" si="11"/>
        <v>-9.3242101468490358E-3</v>
      </c>
      <c r="J68">
        <v>-1.4645994464519778E-2</v>
      </c>
      <c r="K68" s="27">
        <f t="shared" si="12"/>
        <v>-2.7601460051564143E-2</v>
      </c>
      <c r="L68" s="27">
        <f t="shared" si="13"/>
        <v>-8.9481304640979635E-3</v>
      </c>
      <c r="M68" s="2">
        <v>-1.7049666419570082E-2</v>
      </c>
      <c r="N68" s="27">
        <f t="shared" si="14"/>
        <v>-3.0005132006614449E-2</v>
      </c>
      <c r="O68" s="2">
        <v>1.2979370762432352E-2</v>
      </c>
      <c r="P68" s="27">
        <f t="shared" si="15"/>
        <v>2.3905175387986533E-5</v>
      </c>
      <c r="Q68" s="2">
        <v>-6.6760472057023016E-3</v>
      </c>
      <c r="R68" s="27">
        <f t="shared" si="16"/>
        <v>-1.9631512792746667E-2</v>
      </c>
      <c r="S68" s="2">
        <v>-1.6737474465494017E-4</v>
      </c>
      <c r="T68" s="27">
        <f t="shared" si="17"/>
        <v>-1.3122840331699305E-2</v>
      </c>
    </row>
    <row r="69" spans="1:20">
      <c r="A69" s="1">
        <v>42781</v>
      </c>
      <c r="B69">
        <v>4.99230897363938E-3</v>
      </c>
      <c r="C69" s="2">
        <v>-2.0783373301358755E-2</v>
      </c>
      <c r="D69" s="2">
        <v>2.0225094893291553E-3</v>
      </c>
      <c r="E69" s="2">
        <f t="shared" si="9"/>
        <v>2.2805882790687911E-2</v>
      </c>
      <c r="F69" s="2">
        <v>3.966561278266849E-4</v>
      </c>
      <c r="G69" s="2">
        <f t="shared" si="10"/>
        <v>2.118002942918544E-2</v>
      </c>
      <c r="H69" s="2">
        <v>3.3398594497482622E-3</v>
      </c>
      <c r="I69" s="2">
        <f t="shared" si="11"/>
        <v>2.4123232751107018E-2</v>
      </c>
      <c r="J69">
        <v>-3.9367065237403402E-4</v>
      </c>
      <c r="K69" s="27">
        <f t="shared" si="12"/>
        <v>2.0389702648984719E-2</v>
      </c>
      <c r="L69" s="27">
        <f t="shared" si="13"/>
        <v>2.5775682274998137E-2</v>
      </c>
      <c r="M69" s="2">
        <v>3.016591251885439E-3</v>
      </c>
      <c r="N69" s="27">
        <f t="shared" si="14"/>
        <v>2.3799964553244193E-2</v>
      </c>
      <c r="O69" s="2">
        <v>3.6290404881955873E-3</v>
      </c>
      <c r="P69" s="27">
        <f t="shared" si="15"/>
        <v>2.4412413789554343E-2</v>
      </c>
      <c r="Q69" s="2">
        <v>3.2143881947489881E-3</v>
      </c>
      <c r="R69" s="27">
        <f t="shared" si="16"/>
        <v>2.3997761496107745E-2</v>
      </c>
      <c r="S69" s="2">
        <v>7.5443236849259462E-3</v>
      </c>
      <c r="T69" s="27">
        <f t="shared" si="17"/>
        <v>2.8327696986284699E-2</v>
      </c>
    </row>
    <row r="70" spans="1:20">
      <c r="A70" s="1">
        <v>42782</v>
      </c>
      <c r="B70">
        <v>-8.64117909971273E-4</v>
      </c>
      <c r="C70" s="2">
        <v>-1.0204081632653206E-2</v>
      </c>
      <c r="D70" s="2">
        <v>-1.6055077282218028E-2</v>
      </c>
      <c r="E70" s="2">
        <f t="shared" si="9"/>
        <v>-5.8509956495648215E-3</v>
      </c>
      <c r="F70" s="2">
        <v>7.664872581944625E-3</v>
      </c>
      <c r="G70" s="2">
        <f t="shared" si="10"/>
        <v>1.7868954214597832E-2</v>
      </c>
      <c r="H70" s="2">
        <v>9.9860841475459088E-3</v>
      </c>
      <c r="I70" s="2">
        <f t="shared" si="11"/>
        <v>2.0190165780199117E-2</v>
      </c>
      <c r="J70">
        <v>-7.1886063853686998E-3</v>
      </c>
      <c r="K70" s="27">
        <f t="shared" si="12"/>
        <v>3.0154752472845063E-3</v>
      </c>
      <c r="L70" s="27">
        <f t="shared" si="13"/>
        <v>9.3399637226819331E-3</v>
      </c>
      <c r="M70" s="2">
        <v>-2.4812030075187973E-2</v>
      </c>
      <c r="N70" s="27">
        <f t="shared" si="14"/>
        <v>-1.4607948442534767E-2</v>
      </c>
      <c r="O70" s="2">
        <v>-1.18077333953148E-3</v>
      </c>
      <c r="P70" s="27">
        <f t="shared" si="15"/>
        <v>9.0233082931217255E-3</v>
      </c>
      <c r="Q70" s="2">
        <v>1.0631522574731466E-2</v>
      </c>
      <c r="R70" s="27">
        <f t="shared" si="16"/>
        <v>2.0835604207384673E-2</v>
      </c>
      <c r="S70" s="2">
        <v>1.7087967004798539E-3</v>
      </c>
      <c r="T70" s="27">
        <f t="shared" si="17"/>
        <v>1.1912878333133059E-2</v>
      </c>
    </row>
    <row r="71" spans="1:20">
      <c r="A71" s="1">
        <v>42783</v>
      </c>
      <c r="B71">
        <v>1.6785563554665623E-3</v>
      </c>
      <c r="C71" s="2">
        <v>8.2474226804132942E-4</v>
      </c>
      <c r="D71" s="2">
        <v>-1.8646874470943086E-4</v>
      </c>
      <c r="E71" s="2">
        <f t="shared" si="9"/>
        <v>-1.0112110127507602E-3</v>
      </c>
      <c r="F71" s="2">
        <v>2.4918265022923886E-3</v>
      </c>
      <c r="G71" s="2">
        <f t="shared" si="10"/>
        <v>1.6670842342510592E-3</v>
      </c>
      <c r="H71" s="2">
        <v>1.9224059591724117E-3</v>
      </c>
      <c r="I71" s="2">
        <f t="shared" si="11"/>
        <v>1.0976636911310823E-3</v>
      </c>
      <c r="J71">
        <v>-2.9756298353500257E-3</v>
      </c>
      <c r="K71" s="27">
        <f t="shared" si="12"/>
        <v>-3.8003721033913552E-3</v>
      </c>
      <c r="L71" s="27">
        <f t="shared" si="13"/>
        <v>8.538140874252329E-4</v>
      </c>
      <c r="M71" s="2">
        <v>1.2336160370084821E-2</v>
      </c>
      <c r="N71" s="27">
        <f t="shared" si="14"/>
        <v>1.1511418102043491E-2</v>
      </c>
      <c r="O71" s="2">
        <v>2.7337658388713552E-3</v>
      </c>
      <c r="P71" s="27">
        <f t="shared" si="15"/>
        <v>1.9090235708300258E-3</v>
      </c>
      <c r="Q71" s="2">
        <v>1.0711973909264113E-2</v>
      </c>
      <c r="R71" s="27">
        <f t="shared" si="16"/>
        <v>9.887231641222783E-3</v>
      </c>
      <c r="S71" s="2">
        <v>1.1017034893199369E-3</v>
      </c>
      <c r="T71" s="27">
        <f t="shared" si="17"/>
        <v>2.7696122127860746E-4</v>
      </c>
    </row>
    <row r="72" spans="1:20">
      <c r="A72" s="1">
        <v>42787</v>
      </c>
      <c r="B72">
        <v>6.0480662873772179E-3</v>
      </c>
      <c r="C72" s="2">
        <v>-3.7082818294189935E-3</v>
      </c>
      <c r="D72" s="2">
        <v>3.5810902811578608E-2</v>
      </c>
      <c r="E72" s="2">
        <f t="shared" si="9"/>
        <v>3.9519184640997601E-2</v>
      </c>
      <c r="F72" s="2">
        <v>8.372591699666419E-3</v>
      </c>
      <c r="G72" s="2">
        <f t="shared" si="10"/>
        <v>1.2080873529085413E-2</v>
      </c>
      <c r="H72" s="2">
        <v>1.0967258151317251E-3</v>
      </c>
      <c r="I72" s="2">
        <f t="shared" si="11"/>
        <v>4.8050076445507184E-3</v>
      </c>
      <c r="J72">
        <v>1.5917290566572474E-2</v>
      </c>
      <c r="K72" s="27">
        <f t="shared" si="12"/>
        <v>1.9625572395991466E-2</v>
      </c>
      <c r="L72" s="27">
        <f t="shared" si="13"/>
        <v>9.7563481167962113E-3</v>
      </c>
      <c r="M72" s="2">
        <v>6.6260472201066192E-2</v>
      </c>
      <c r="N72" s="27">
        <f t="shared" si="14"/>
        <v>6.9968754030485192E-2</v>
      </c>
      <c r="O72" s="2">
        <v>7.2207578624332632E-3</v>
      </c>
      <c r="P72" s="27">
        <f t="shared" si="15"/>
        <v>1.0929039691852258E-2</v>
      </c>
      <c r="Q72" s="2">
        <v>1.1121092203072728E-2</v>
      </c>
      <c r="R72" s="27">
        <f t="shared" si="16"/>
        <v>1.482937403249172E-2</v>
      </c>
      <c r="S72" s="2">
        <v>1.3454500699135589E-2</v>
      </c>
      <c r="T72" s="27">
        <f t="shared" si="17"/>
        <v>1.7162782528554583E-2</v>
      </c>
    </row>
    <row r="73" spans="1:20">
      <c r="A73" s="1">
        <v>42788</v>
      </c>
      <c r="B73">
        <v>-1.0822003765219607E-3</v>
      </c>
      <c r="C73" s="2">
        <v>-1.240694789081896E-2</v>
      </c>
      <c r="D73" s="2">
        <v>-1.5325452135023971E-3</v>
      </c>
      <c r="E73" s="2">
        <f t="shared" si="9"/>
        <v>1.0874402677316562E-2</v>
      </c>
      <c r="F73" s="2">
        <v>1.9460572111898375E-3</v>
      </c>
      <c r="G73" s="2">
        <f t="shared" si="10"/>
        <v>1.4353005102008798E-2</v>
      </c>
      <c r="H73" s="2">
        <v>-1.2322181388689955E-2</v>
      </c>
      <c r="I73" s="2">
        <f t="shared" si="11"/>
        <v>8.476650212900505E-5</v>
      </c>
      <c r="J73">
        <v>2.0368134928472333E-2</v>
      </c>
      <c r="K73" s="27">
        <f t="shared" si="12"/>
        <v>3.2775082819291292E-2</v>
      </c>
      <c r="L73" s="27">
        <f t="shared" si="13"/>
        <v>1.1324747514296999E-2</v>
      </c>
      <c r="M73" s="2">
        <v>1.9999999999999955E-2</v>
      </c>
      <c r="N73" s="27">
        <f t="shared" si="14"/>
        <v>3.2406947890818917E-2</v>
      </c>
      <c r="O73" s="2">
        <v>2.9991379429461004E-3</v>
      </c>
      <c r="P73" s="27">
        <f t="shared" si="15"/>
        <v>1.540608583376506E-2</v>
      </c>
      <c r="Q73" s="2">
        <v>6.6274532166433831E-3</v>
      </c>
      <c r="R73" s="27">
        <f t="shared" si="16"/>
        <v>1.9034401107462344E-2</v>
      </c>
      <c r="S73" s="2">
        <v>-9.6914786565515645E-4</v>
      </c>
      <c r="T73" s="27">
        <f t="shared" si="17"/>
        <v>1.1437800025163803E-2</v>
      </c>
    </row>
    <row r="74" spans="1:20">
      <c r="A74" s="1">
        <v>42789</v>
      </c>
      <c r="B74">
        <v>4.1898704577953419E-4</v>
      </c>
      <c r="C74" s="2">
        <v>-2.9731993299832383E-2</v>
      </c>
      <c r="D74" s="2">
        <v>-9.2722981750706604E-2</v>
      </c>
      <c r="E74" s="2">
        <f t="shared" si="9"/>
        <v>-6.2990988450874225E-2</v>
      </c>
      <c r="F74" s="2">
        <v>-1.1654957380431124E-3</v>
      </c>
      <c r="G74" s="2">
        <f t="shared" si="10"/>
        <v>2.8566497561789271E-2</v>
      </c>
      <c r="H74" s="2">
        <v>3.049718918832686E-3</v>
      </c>
      <c r="I74" s="2">
        <f t="shared" si="11"/>
        <v>3.278171221866507E-2</v>
      </c>
      <c r="J74">
        <v>-1.6698637716851372E-2</v>
      </c>
      <c r="K74" s="27">
        <f t="shared" si="12"/>
        <v>1.3033355582981011E-2</v>
      </c>
      <c r="L74" s="27">
        <f t="shared" si="13"/>
        <v>3.0150980345611918E-2</v>
      </c>
      <c r="M74" s="2">
        <v>2.8011204481793364E-3</v>
      </c>
      <c r="N74" s="27">
        <f t="shared" si="14"/>
        <v>3.2533113748011717E-2</v>
      </c>
      <c r="O74" s="2">
        <v>-4.2301250978877261E-3</v>
      </c>
      <c r="P74" s="27">
        <f t="shared" si="15"/>
        <v>2.5501868201944656E-2</v>
      </c>
      <c r="Q74" s="2">
        <v>-1.6716369906375712E-2</v>
      </c>
      <c r="R74" s="27">
        <f t="shared" si="16"/>
        <v>1.301562339345667E-2</v>
      </c>
      <c r="S74" s="2">
        <v>-3.9971284346336866E-3</v>
      </c>
      <c r="T74" s="27">
        <f t="shared" si="17"/>
        <v>2.5734864865198697E-2</v>
      </c>
    </row>
    <row r="75" spans="1:20">
      <c r="A75" s="1">
        <v>42790</v>
      </c>
      <c r="B75">
        <v>1.4933640655939071E-3</v>
      </c>
      <c r="C75" s="2">
        <v>2.2442813983599499E-2</v>
      </c>
      <c r="D75" s="2">
        <v>9.6526705084626092E-3</v>
      </c>
      <c r="E75" s="2">
        <f t="shared" si="9"/>
        <v>-1.279014347513689E-2</v>
      </c>
      <c r="F75" s="2">
        <v>1.2964329629649534E-3</v>
      </c>
      <c r="G75" s="2">
        <f t="shared" si="10"/>
        <v>-2.1146381020634545E-2</v>
      </c>
      <c r="H75" s="2">
        <v>9.6736704915108516E-3</v>
      </c>
      <c r="I75" s="2">
        <f t="shared" si="11"/>
        <v>-1.2769143492088648E-2</v>
      </c>
      <c r="J75">
        <v>4.7823346162632696E-3</v>
      </c>
      <c r="K75" s="27">
        <f t="shared" si="12"/>
        <v>-1.7660479367336231E-2</v>
      </c>
      <c r="L75" s="27">
        <f t="shared" si="13"/>
        <v>-2.0949449918005594E-2</v>
      </c>
      <c r="M75" s="2">
        <v>-1.3966480446927448E-2</v>
      </c>
      <c r="N75" s="27">
        <f t="shared" si="14"/>
        <v>-3.6409294430526949E-2</v>
      </c>
      <c r="O75" s="2">
        <v>9.5226604714250638E-4</v>
      </c>
      <c r="P75" s="27">
        <f t="shared" si="15"/>
        <v>-2.1490547936456994E-2</v>
      </c>
      <c r="Q75" s="2">
        <v>-9.973322794969645E-4</v>
      </c>
      <c r="R75" s="27">
        <f t="shared" si="16"/>
        <v>-2.3440146263096463E-2</v>
      </c>
      <c r="S75" s="2">
        <v>-8.1554723520448139E-3</v>
      </c>
      <c r="T75" s="27">
        <f t="shared" si="17"/>
        <v>-3.0598286335644313E-2</v>
      </c>
    </row>
    <row r="76" spans="1:20">
      <c r="A76" s="1">
        <v>42793</v>
      </c>
      <c r="B76">
        <v>1.0179830148679832E-3</v>
      </c>
      <c r="C76" s="2">
        <v>-4.6433094132545885E-3</v>
      </c>
      <c r="D76" s="2">
        <v>2.907558581052495E-2</v>
      </c>
      <c r="E76" s="2">
        <f t="shared" si="9"/>
        <v>3.3718895223779535E-2</v>
      </c>
      <c r="F76" s="2">
        <v>-6.4737720034038955E-4</v>
      </c>
      <c r="G76" s="2">
        <f t="shared" si="10"/>
        <v>3.9959322129141991E-3</v>
      </c>
      <c r="H76" s="2">
        <v>-5.4740272847786039E-4</v>
      </c>
      <c r="I76" s="2">
        <f t="shared" si="11"/>
        <v>4.0959066847767282E-3</v>
      </c>
      <c r="J76">
        <v>6.3137544336208497E-3</v>
      </c>
      <c r="K76" s="27">
        <f t="shared" si="12"/>
        <v>1.0957063846875437E-2</v>
      </c>
      <c r="L76" s="27">
        <f t="shared" si="13"/>
        <v>5.6612924281225722E-3</v>
      </c>
      <c r="M76" s="2">
        <v>7.6487252124645896E-2</v>
      </c>
      <c r="N76" s="27">
        <f t="shared" si="14"/>
        <v>8.1130561537900492E-2</v>
      </c>
      <c r="O76" s="2">
        <v>1.9755731650328815E-3</v>
      </c>
      <c r="P76" s="27">
        <f t="shared" si="15"/>
        <v>6.6188825782874695E-3</v>
      </c>
      <c r="Q76" s="2">
        <v>1.3832838658569206E-2</v>
      </c>
      <c r="R76" s="27">
        <f t="shared" si="16"/>
        <v>1.8476148071823795E-2</v>
      </c>
      <c r="S76" s="2">
        <v>4.0225557714086788E-3</v>
      </c>
      <c r="T76" s="27">
        <f t="shared" si="17"/>
        <v>8.6658651846632673E-3</v>
      </c>
    </row>
    <row r="77" spans="1:20">
      <c r="A77" s="1">
        <v>42794</v>
      </c>
      <c r="B77">
        <v>-2.5783762000210868E-3</v>
      </c>
      <c r="C77" s="2">
        <v>4.4529262086513983E-2</v>
      </c>
      <c r="D77" s="2">
        <v>-2.8062485013206011E-2</v>
      </c>
      <c r="E77" s="2">
        <f t="shared" si="9"/>
        <v>-7.2591747099719994E-2</v>
      </c>
      <c r="F77" s="2">
        <v>-7.3842341467299354E-3</v>
      </c>
      <c r="G77" s="2">
        <f t="shared" si="10"/>
        <v>-5.1913496233243921E-2</v>
      </c>
      <c r="H77" s="2">
        <v>-8.4908296249102469E-3</v>
      </c>
      <c r="I77" s="2">
        <f t="shared" si="11"/>
        <v>-5.302009171142423E-2</v>
      </c>
      <c r="J77">
        <v>-6.7567182771567109E-3</v>
      </c>
      <c r="K77" s="27">
        <f t="shared" si="12"/>
        <v>-5.1285980363670693E-2</v>
      </c>
      <c r="L77" s="27">
        <f t="shared" si="13"/>
        <v>-4.7107638286535067E-2</v>
      </c>
      <c r="M77" s="2">
        <v>-4.8684210526315691E-2</v>
      </c>
      <c r="N77" s="27">
        <f t="shared" si="14"/>
        <v>-9.3213472612829668E-2</v>
      </c>
      <c r="O77" s="2">
        <v>4.38324698266824E-4</v>
      </c>
      <c r="P77" s="27">
        <f t="shared" si="15"/>
        <v>-4.409093738824716E-2</v>
      </c>
      <c r="Q77" s="2">
        <v>-1.1018478794348157E-2</v>
      </c>
      <c r="R77" s="27">
        <f t="shared" si="16"/>
        <v>-5.5547740880862138E-2</v>
      </c>
      <c r="S77" s="2">
        <v>-4.2421249721531565E-3</v>
      </c>
      <c r="T77" s="27">
        <f t="shared" si="17"/>
        <v>-4.877138705866714E-2</v>
      </c>
    </row>
    <row r="78" spans="1:20">
      <c r="A78" s="1">
        <v>42795</v>
      </c>
      <c r="B78">
        <v>1.3673854505382556E-2</v>
      </c>
      <c r="C78" s="2">
        <v>1.0556232237109135E-2</v>
      </c>
      <c r="D78" s="2">
        <v>1.2908891443091345E-2</v>
      </c>
      <c r="E78" s="2">
        <f t="shared" si="9"/>
        <v>2.3526592059822105E-3</v>
      </c>
      <c r="F78" s="2">
        <v>1.9968589082891942E-2</v>
      </c>
      <c r="G78" s="2">
        <f t="shared" si="10"/>
        <v>9.4123568457828068E-3</v>
      </c>
      <c r="H78" s="2">
        <v>-7.458473513998338E-3</v>
      </c>
      <c r="I78" s="2">
        <f t="shared" si="11"/>
        <v>-1.8014705751107474E-2</v>
      </c>
      <c r="J78">
        <v>1.107870726766364E-2</v>
      </c>
      <c r="K78" s="27">
        <f t="shared" si="12"/>
        <v>5.2247503055450478E-4</v>
      </c>
      <c r="L78" s="27">
        <f t="shared" si="13"/>
        <v>3.1176222682734213E-3</v>
      </c>
      <c r="M78" s="2">
        <v>3.4578146611341627E-2</v>
      </c>
      <c r="N78" s="27">
        <f t="shared" si="14"/>
        <v>2.4021914374232491E-2</v>
      </c>
      <c r="O78" s="2">
        <v>2.0439265686836312E-2</v>
      </c>
      <c r="P78" s="27">
        <f t="shared" si="15"/>
        <v>9.8830334497271768E-3</v>
      </c>
      <c r="Q78" s="2">
        <v>1.9959243473918562E-2</v>
      </c>
      <c r="R78" s="27">
        <f t="shared" si="16"/>
        <v>9.4030112368094273E-3</v>
      </c>
      <c r="S78" s="2">
        <v>9.5143889156921978E-3</v>
      </c>
      <c r="T78" s="27">
        <f t="shared" si="17"/>
        <v>-1.0418433214169371E-3</v>
      </c>
    </row>
    <row r="79" spans="1:20">
      <c r="A79" s="1">
        <v>42796</v>
      </c>
      <c r="B79">
        <v>-5.8598804773599385E-3</v>
      </c>
      <c r="C79" s="2">
        <v>1.205303334672605E-3</v>
      </c>
      <c r="D79" s="2">
        <v>-3.6871240734980819E-2</v>
      </c>
      <c r="E79" s="2">
        <f t="shared" si="9"/>
        <v>-3.8076544069653426E-2</v>
      </c>
      <c r="F79" s="2">
        <v>-8.9564416986125713E-4</v>
      </c>
      <c r="G79" s="2">
        <f t="shared" si="10"/>
        <v>-2.1009475045338623E-3</v>
      </c>
      <c r="H79" s="2">
        <v>-5.5662903320561382E-4</v>
      </c>
      <c r="I79" s="2">
        <f t="shared" si="11"/>
        <v>-1.7619323678782187E-3</v>
      </c>
      <c r="J79">
        <v>-8.1699249503082647E-3</v>
      </c>
      <c r="K79" s="27">
        <f t="shared" si="12"/>
        <v>-9.3752282849808698E-3</v>
      </c>
      <c r="L79" s="27">
        <f t="shared" si="13"/>
        <v>-7.0651838120325437E-3</v>
      </c>
      <c r="M79" s="2">
        <v>-7.0855614973262065E-2</v>
      </c>
      <c r="N79" s="27">
        <f t="shared" si="14"/>
        <v>-7.2060918307934665E-2</v>
      </c>
      <c r="O79" s="2">
        <v>-5.937357806190157E-3</v>
      </c>
      <c r="P79" s="27">
        <f t="shared" si="15"/>
        <v>-7.1426611408627622E-3</v>
      </c>
      <c r="Q79" s="2">
        <v>9.9934303655234008E-3</v>
      </c>
      <c r="R79" s="27">
        <f t="shared" si="16"/>
        <v>8.7881270308507956E-3</v>
      </c>
      <c r="S79" s="2">
        <v>-4.8882214058472801E-3</v>
      </c>
      <c r="T79" s="27">
        <f t="shared" si="17"/>
        <v>-6.0935247405198853E-3</v>
      </c>
    </row>
    <row r="80" spans="1:20">
      <c r="A80" s="1">
        <v>42797</v>
      </c>
      <c r="B80">
        <v>5.0387714083693458E-4</v>
      </c>
      <c r="C80" s="2">
        <v>8.0256821829864514E-4</v>
      </c>
      <c r="D80" s="2">
        <v>-5.7575913769588724E-3</v>
      </c>
      <c r="E80" s="2">
        <f t="shared" si="9"/>
        <v>-6.5601595952575172E-3</v>
      </c>
      <c r="F80" s="2">
        <v>-2.8175933380392725E-3</v>
      </c>
      <c r="G80" s="2">
        <f t="shared" si="10"/>
        <v>-3.6201615563379178E-3</v>
      </c>
      <c r="H80" s="2">
        <v>-2.7844108815774769E-4</v>
      </c>
      <c r="I80" s="2">
        <f t="shared" si="11"/>
        <v>-1.0810093064563928E-3</v>
      </c>
      <c r="J80">
        <v>1.1628645961261463E-3</v>
      </c>
      <c r="K80" s="27">
        <f t="shared" si="12"/>
        <v>3.6029637782750113E-4</v>
      </c>
      <c r="L80" s="27">
        <f t="shared" si="13"/>
        <v>-2.9869107746171057E-4</v>
      </c>
      <c r="M80" s="2">
        <v>-6.258992805755402E-2</v>
      </c>
      <c r="N80" s="27">
        <f t="shared" si="14"/>
        <v>-6.3392496275852667E-2</v>
      </c>
      <c r="O80" s="2">
        <v>5.9008312546427154E-3</v>
      </c>
      <c r="P80" s="27">
        <f t="shared" si="15"/>
        <v>5.0982630363440706E-3</v>
      </c>
      <c r="Q80" s="2">
        <v>4.7403522092562354E-3</v>
      </c>
      <c r="R80" s="27">
        <f t="shared" si="16"/>
        <v>3.9377839909575905E-3</v>
      </c>
      <c r="S80" s="2">
        <v>1.1426794723260324E-3</v>
      </c>
      <c r="T80" s="27">
        <f t="shared" si="17"/>
        <v>3.4011125402738727E-4</v>
      </c>
    </row>
    <row r="81" spans="1:20">
      <c r="A81" s="1">
        <v>42800</v>
      </c>
      <c r="B81">
        <v>-3.2772405991149741E-3</v>
      </c>
      <c r="C81" s="2">
        <v>6.8163592622293113E-3</v>
      </c>
      <c r="D81" s="2">
        <v>-7.7212680234208988E-3</v>
      </c>
      <c r="E81" s="2">
        <f t="shared" si="9"/>
        <v>-1.4537627285650209E-2</v>
      </c>
      <c r="F81" s="2">
        <v>5.7793835073894385E-3</v>
      </c>
      <c r="G81" s="2">
        <f t="shared" si="10"/>
        <v>-1.0369757548398728E-3</v>
      </c>
      <c r="H81" s="2">
        <v>-9.192224276074825E-3</v>
      </c>
      <c r="I81" s="2">
        <f t="shared" si="11"/>
        <v>-1.6008583538304137E-2</v>
      </c>
      <c r="J81">
        <v>-9.6796052595025713E-3</v>
      </c>
      <c r="K81" s="27">
        <f t="shared" si="12"/>
        <v>-1.6495964521731882E-2</v>
      </c>
      <c r="L81" s="27">
        <f t="shared" si="13"/>
        <v>-1.0093599861344286E-2</v>
      </c>
      <c r="M81" s="2">
        <v>7.6745970836529455E-4</v>
      </c>
      <c r="N81" s="27">
        <f t="shared" si="14"/>
        <v>-6.0488995538640171E-3</v>
      </c>
      <c r="O81" s="2">
        <v>-3.1476388239500049E-3</v>
      </c>
      <c r="P81" s="27">
        <f t="shared" si="15"/>
        <v>-9.9639980861793154E-3</v>
      </c>
      <c r="Q81" s="2">
        <v>-1.7406624355249349E-3</v>
      </c>
      <c r="R81" s="27">
        <f t="shared" si="16"/>
        <v>-8.5570216977542465E-3</v>
      </c>
      <c r="S81" s="2">
        <v>-3.8476255244996984E-3</v>
      </c>
      <c r="T81" s="27">
        <f t="shared" si="17"/>
        <v>-1.066398478672901E-2</v>
      </c>
    </row>
    <row r="82" spans="1:20">
      <c r="A82" s="1">
        <v>42801</v>
      </c>
      <c r="B82">
        <v>-2.9133737609452364E-3</v>
      </c>
      <c r="C82" s="2">
        <v>1.6328156113102319E-2</v>
      </c>
      <c r="D82" s="2">
        <v>1.0955319021579726E-2</v>
      </c>
      <c r="E82" s="2">
        <f t="shared" si="9"/>
        <v>-5.3728370915225934E-3</v>
      </c>
      <c r="F82" s="2">
        <v>1.034364170053541E-2</v>
      </c>
      <c r="G82" s="2">
        <f t="shared" si="10"/>
        <v>-5.9845144125669093E-3</v>
      </c>
      <c r="H82" s="2">
        <v>6.4661347580533537E-3</v>
      </c>
      <c r="I82" s="2">
        <f t="shared" si="11"/>
        <v>-9.8620213550489645E-3</v>
      </c>
      <c r="J82">
        <v>3.1277392850697734E-3</v>
      </c>
      <c r="K82" s="27">
        <f t="shared" si="12"/>
        <v>-1.3200416828032545E-2</v>
      </c>
      <c r="L82" s="27">
        <f t="shared" si="13"/>
        <v>-1.9241529874047557E-2</v>
      </c>
      <c r="M82" s="2">
        <v>7.6687116564429171E-4</v>
      </c>
      <c r="N82" s="27">
        <f t="shared" si="14"/>
        <v>-1.5561284947458027E-2</v>
      </c>
      <c r="O82" s="2">
        <v>1.291794762435099E-3</v>
      </c>
      <c r="P82" s="27">
        <f t="shared" si="15"/>
        <v>-1.5036361350667221E-2</v>
      </c>
      <c r="Q82" s="2">
        <v>6.010850609860648E-3</v>
      </c>
      <c r="R82" s="27">
        <f t="shared" si="16"/>
        <v>-1.0317305503241671E-2</v>
      </c>
      <c r="S82" s="2">
        <v>-6.9685570741290801E-4</v>
      </c>
      <c r="T82" s="27">
        <f t="shared" si="17"/>
        <v>-1.7025011820515228E-2</v>
      </c>
    </row>
    <row r="83" spans="1:20">
      <c r="A83" s="1">
        <v>42802</v>
      </c>
      <c r="B83">
        <v>-2.2842155406884099E-3</v>
      </c>
      <c r="C83" s="2">
        <v>1.8025078369905884E-2</v>
      </c>
      <c r="D83" s="2">
        <v>-1.8230154829527391E-3</v>
      </c>
      <c r="E83" s="2">
        <f t="shared" si="9"/>
        <v>-1.9848093852858621E-2</v>
      </c>
      <c r="F83" s="2">
        <v>2.7805573837071554E-3</v>
      </c>
      <c r="G83" s="2">
        <f t="shared" si="10"/>
        <v>-1.5244520986198728E-2</v>
      </c>
      <c r="H83" s="2">
        <v>-5.0279667388033415E-3</v>
      </c>
      <c r="I83" s="2">
        <f t="shared" si="11"/>
        <v>-2.3053045108709223E-2</v>
      </c>
      <c r="J83">
        <v>5.748845534897495E-3</v>
      </c>
      <c r="K83" s="27">
        <f t="shared" si="12"/>
        <v>-1.2276232835008389E-2</v>
      </c>
      <c r="L83" s="27">
        <f t="shared" si="13"/>
        <v>-2.0309293910594294E-2</v>
      </c>
      <c r="M83" s="2">
        <v>1.3026819923371642E-2</v>
      </c>
      <c r="N83" s="27">
        <f t="shared" si="14"/>
        <v>-4.9982584465342421E-3</v>
      </c>
      <c r="O83" s="2">
        <v>-3.7270925620163419E-3</v>
      </c>
      <c r="P83" s="27">
        <f t="shared" si="15"/>
        <v>-2.1752170931922225E-2</v>
      </c>
      <c r="Q83" s="2">
        <v>1.7332098423687623E-3</v>
      </c>
      <c r="R83" s="27">
        <f t="shared" si="16"/>
        <v>-1.6291868527537123E-2</v>
      </c>
      <c r="S83" s="2">
        <v>5.295359322584299E-3</v>
      </c>
      <c r="T83" s="27">
        <f t="shared" si="17"/>
        <v>-1.2729719047321585E-2</v>
      </c>
    </row>
    <row r="84" spans="1:20">
      <c r="A84" s="1">
        <v>42803</v>
      </c>
      <c r="B84">
        <v>7.9989547774326369E-4</v>
      </c>
      <c r="C84" s="2">
        <v>-6.1585835257890742E-3</v>
      </c>
      <c r="D84" s="2">
        <v>-2.0289784766849706E-4</v>
      </c>
      <c r="E84" s="2">
        <f t="shared" si="9"/>
        <v>5.9556856781205775E-3</v>
      </c>
      <c r="F84" s="2">
        <v>-2.6468630908641224E-3</v>
      </c>
      <c r="G84" s="2">
        <f t="shared" si="10"/>
        <v>3.5117204349249518E-3</v>
      </c>
      <c r="H84" s="2">
        <v>5.614848304733377E-3</v>
      </c>
      <c r="I84" s="2">
        <f t="shared" si="11"/>
        <v>1.177343183052245E-2</v>
      </c>
      <c r="J84">
        <v>1.9373183303886615E-4</v>
      </c>
      <c r="K84" s="27">
        <f t="shared" si="12"/>
        <v>6.3523153588279403E-3</v>
      </c>
      <c r="L84" s="27">
        <f t="shared" si="13"/>
        <v>6.9584790035323377E-3</v>
      </c>
      <c r="M84" s="2">
        <v>8.3207261724659171E-3</v>
      </c>
      <c r="N84" s="27">
        <f t="shared" si="14"/>
        <v>1.4479309698254991E-2</v>
      </c>
      <c r="O84" s="2">
        <v>-2.3022531080388246E-3</v>
      </c>
      <c r="P84" s="27">
        <f t="shared" si="15"/>
        <v>3.8563304177502496E-3</v>
      </c>
      <c r="Q84" s="2">
        <v>1.0836361270651816E-2</v>
      </c>
      <c r="R84" s="27">
        <f t="shared" si="16"/>
        <v>1.699494479644089E-2</v>
      </c>
      <c r="S84" s="2">
        <v>2.9394473838918285E-3</v>
      </c>
      <c r="T84" s="27">
        <f t="shared" si="17"/>
        <v>9.0980309096809035E-3</v>
      </c>
    </row>
    <row r="85" spans="1:20">
      <c r="A85" s="1">
        <v>42804</v>
      </c>
      <c r="B85">
        <v>3.2686704206005036E-3</v>
      </c>
      <c r="C85" s="2">
        <v>1.0069713400464851E-2</v>
      </c>
      <c r="D85" s="2">
        <v>5.8860146034551888E-3</v>
      </c>
      <c r="E85" s="2">
        <f t="shared" si="9"/>
        <v>-4.1836987970096627E-3</v>
      </c>
      <c r="F85" s="2">
        <v>1.5164937546721694E-2</v>
      </c>
      <c r="G85" s="2">
        <f t="shared" si="10"/>
        <v>5.0952241462568423E-3</v>
      </c>
      <c r="H85" s="2">
        <v>2.5125512118975477E-3</v>
      </c>
      <c r="I85" s="2">
        <f t="shared" si="11"/>
        <v>-7.5571621885673033E-3</v>
      </c>
      <c r="J85">
        <v>1.4529349370967942E-3</v>
      </c>
      <c r="K85" s="27">
        <f t="shared" si="12"/>
        <v>-8.6167784633680577E-3</v>
      </c>
      <c r="L85" s="27">
        <f t="shared" si="13"/>
        <v>-6.8010429798643478E-3</v>
      </c>
      <c r="M85" s="2">
        <v>4.3510877719429859E-2</v>
      </c>
      <c r="N85" s="27">
        <f t="shared" si="14"/>
        <v>3.344116431896501E-2</v>
      </c>
      <c r="O85" s="2">
        <v>3.3169770665987656E-3</v>
      </c>
      <c r="P85" s="27">
        <f t="shared" si="15"/>
        <v>-6.7527363338660863E-3</v>
      </c>
      <c r="Q85" s="2">
        <v>1.9548762383683443E-2</v>
      </c>
      <c r="R85" s="27">
        <f t="shared" si="16"/>
        <v>9.4790489832185919E-3</v>
      </c>
      <c r="S85" s="2">
        <v>-6.3303399765535662E-4</v>
      </c>
      <c r="T85" s="27">
        <f t="shared" si="17"/>
        <v>-1.0702747398120209E-2</v>
      </c>
    </row>
    <row r="86" spans="1:20">
      <c r="A86" s="1">
        <v>42807</v>
      </c>
      <c r="B86">
        <v>3.6663279274638967E-4</v>
      </c>
      <c r="C86" s="2">
        <v>-4.9846625766870782E-3</v>
      </c>
      <c r="D86" s="2">
        <v>2.7542240124286781E-2</v>
      </c>
      <c r="E86" s="2">
        <f t="shared" si="9"/>
        <v>3.2526902700973859E-2</v>
      </c>
      <c r="F86" s="2">
        <v>8.5895206412477144E-3</v>
      </c>
      <c r="G86" s="2">
        <f t="shared" si="10"/>
        <v>1.3574183217934792E-2</v>
      </c>
      <c r="H86" s="2">
        <v>-2.0885555253695339E-2</v>
      </c>
      <c r="I86" s="2">
        <f t="shared" si="11"/>
        <v>-1.5900892677008262E-2</v>
      </c>
      <c r="J86">
        <v>1.7313096211559145E-2</v>
      </c>
      <c r="K86" s="27">
        <f t="shared" si="12"/>
        <v>2.2297758788246223E-2</v>
      </c>
      <c r="L86" s="27">
        <f t="shared" si="13"/>
        <v>5.351295369433468E-3</v>
      </c>
      <c r="M86" s="2">
        <v>2.6599568655643367E-2</v>
      </c>
      <c r="N86" s="27">
        <f t="shared" si="14"/>
        <v>3.1584231232330444E-2</v>
      </c>
      <c r="O86" s="2">
        <v>4.3125361421487496E-4</v>
      </c>
      <c r="P86" s="27">
        <f t="shared" si="15"/>
        <v>5.4159161909019529E-3</v>
      </c>
      <c r="Q86" s="2">
        <v>4.4173167857690458E-4</v>
      </c>
      <c r="R86" s="27">
        <f t="shared" si="16"/>
        <v>5.4263942552639829E-3</v>
      </c>
      <c r="S86" s="2">
        <v>2.4986567639883796E-3</v>
      </c>
      <c r="T86" s="27">
        <f t="shared" si="17"/>
        <v>7.4833193406754579E-3</v>
      </c>
    </row>
    <row r="87" spans="1:20">
      <c r="A87" s="1">
        <v>42808</v>
      </c>
      <c r="B87">
        <v>-3.379027372577587E-3</v>
      </c>
      <c r="C87" s="2">
        <v>-3.3526011560693715E-2</v>
      </c>
      <c r="D87" s="2">
        <v>-6.8725727987126335E-4</v>
      </c>
      <c r="E87" s="2">
        <f t="shared" si="9"/>
        <v>3.2838754280822453E-2</v>
      </c>
      <c r="F87" s="2">
        <v>8.6401811100662027E-4</v>
      </c>
      <c r="G87" s="2">
        <f t="shared" si="10"/>
        <v>3.4390029671700337E-2</v>
      </c>
      <c r="H87" s="2">
        <v>5.6881914533497087E-4</v>
      </c>
      <c r="I87" s="2">
        <f t="shared" si="11"/>
        <v>3.4094830706028686E-2</v>
      </c>
      <c r="J87">
        <v>-8.8419851682830074E-3</v>
      </c>
      <c r="K87" s="27">
        <f t="shared" si="12"/>
        <v>2.4684026392410706E-2</v>
      </c>
      <c r="L87" s="27">
        <f t="shared" si="13"/>
        <v>3.0146984188116129E-2</v>
      </c>
      <c r="M87" s="2">
        <v>-1.2605042016806704E-2</v>
      </c>
      <c r="N87" s="27">
        <f t="shared" si="14"/>
        <v>2.0920969543887009E-2</v>
      </c>
      <c r="O87" s="2">
        <v>-1.5085662053029828E-3</v>
      </c>
      <c r="P87" s="27">
        <f t="shared" si="15"/>
        <v>3.2017445355390729E-2</v>
      </c>
      <c r="Q87" s="2">
        <v>-9.273575544360587E-3</v>
      </c>
      <c r="R87" s="27">
        <f t="shared" si="16"/>
        <v>2.4252436016333128E-2</v>
      </c>
      <c r="S87" s="2">
        <v>-2.4105102270283699E-3</v>
      </c>
      <c r="T87" s="27">
        <f t="shared" si="17"/>
        <v>3.1115501333665346E-2</v>
      </c>
    </row>
    <row r="88" spans="1:20">
      <c r="A88" s="1">
        <v>42809</v>
      </c>
      <c r="B88">
        <v>8.3747529689331014E-3</v>
      </c>
      <c r="C88" s="2">
        <v>5.5821371610844462E-3</v>
      </c>
      <c r="D88" s="2">
        <v>7.5654426530234698E-3</v>
      </c>
      <c r="E88" s="2">
        <f t="shared" si="9"/>
        <v>1.9833054919390237E-3</v>
      </c>
      <c r="F88" s="2">
        <v>9.0022922509815327E-3</v>
      </c>
      <c r="G88" s="2">
        <f t="shared" si="10"/>
        <v>3.4201550898970865E-3</v>
      </c>
      <c r="H88" s="2">
        <v>-2.274041141529454E-3</v>
      </c>
      <c r="I88" s="2">
        <f t="shared" si="11"/>
        <v>-7.8561783026139011E-3</v>
      </c>
      <c r="J88">
        <v>-5.3716834532373438E-3</v>
      </c>
      <c r="K88" s="27">
        <f t="shared" si="12"/>
        <v>-1.0953820614321791E-2</v>
      </c>
      <c r="L88" s="27">
        <f t="shared" si="13"/>
        <v>2.7926158078486552E-3</v>
      </c>
      <c r="M88" s="2">
        <v>-8.5106382978722851E-3</v>
      </c>
      <c r="N88" s="27">
        <f t="shared" si="14"/>
        <v>-1.4092775458956732E-2</v>
      </c>
      <c r="O88" s="2">
        <v>1.0576376480331452E-2</v>
      </c>
      <c r="P88" s="27">
        <f t="shared" si="15"/>
        <v>4.9942393192470057E-3</v>
      </c>
      <c r="Q88" s="2">
        <v>7.0425357712388045E-3</v>
      </c>
      <c r="R88" s="27">
        <f t="shared" si="16"/>
        <v>1.4603986101543584E-3</v>
      </c>
      <c r="S88" s="2">
        <v>5.1604281964826092E-4</v>
      </c>
      <c r="T88" s="27">
        <f t="shared" si="17"/>
        <v>-5.066094341436185E-3</v>
      </c>
    </row>
    <row r="89" spans="1:20">
      <c r="A89" s="1">
        <v>42810</v>
      </c>
      <c r="B89">
        <v>-1.6267102889130742E-3</v>
      </c>
      <c r="C89" s="2">
        <v>-8.3267248215701459E-3</v>
      </c>
      <c r="D89" s="2">
        <v>1.2286627897518915E-2</v>
      </c>
      <c r="E89" s="2">
        <f t="shared" si="9"/>
        <v>2.0613352719089061E-2</v>
      </c>
      <c r="F89" s="2">
        <v>-1.3443570679313288E-3</v>
      </c>
      <c r="G89" s="2">
        <f t="shared" si="10"/>
        <v>6.9823677536388169E-3</v>
      </c>
      <c r="H89" s="2">
        <v>1.139495740337219E-3</v>
      </c>
      <c r="I89" s="2">
        <f t="shared" si="11"/>
        <v>9.4662205619073653E-3</v>
      </c>
      <c r="J89">
        <v>1.8709566617618505E-2</v>
      </c>
      <c r="K89" s="27">
        <f t="shared" si="12"/>
        <v>2.7036291439188651E-2</v>
      </c>
      <c r="L89" s="27">
        <f t="shared" si="13"/>
        <v>6.7000145326570719E-3</v>
      </c>
      <c r="M89" s="2">
        <v>-2.360515021459228E-2</v>
      </c>
      <c r="N89" s="27">
        <f t="shared" si="14"/>
        <v>-1.5278425393022134E-2</v>
      </c>
      <c r="O89" s="2">
        <v>1.6373592034047244E-3</v>
      </c>
      <c r="P89" s="27">
        <f t="shared" si="15"/>
        <v>9.9640840249748709E-3</v>
      </c>
      <c r="Q89" s="2">
        <v>-1.1337754199525794E-2</v>
      </c>
      <c r="R89" s="27">
        <f t="shared" si="16"/>
        <v>-3.0110293779556478E-3</v>
      </c>
      <c r="S89" s="2">
        <v>5.2758246515106823E-4</v>
      </c>
      <c r="T89" s="27">
        <f t="shared" si="17"/>
        <v>8.854307286721215E-3</v>
      </c>
    </row>
    <row r="90" spans="1:20">
      <c r="A90" s="1">
        <v>42811</v>
      </c>
      <c r="B90">
        <v>-1.3143148736341548E-3</v>
      </c>
      <c r="C90" s="2">
        <v>-1.1195521791283497E-2</v>
      </c>
      <c r="D90" s="2">
        <v>2.1770480150452482E-2</v>
      </c>
      <c r="E90" s="2">
        <f t="shared" si="9"/>
        <v>3.2966001941735976E-2</v>
      </c>
      <c r="F90" s="2">
        <v>5.9968037578356712E-3</v>
      </c>
      <c r="G90" s="2">
        <f t="shared" si="10"/>
        <v>1.7192325549119168E-2</v>
      </c>
      <c r="H90" s="2">
        <v>3.6996907892862959E-3</v>
      </c>
      <c r="I90" s="2">
        <f t="shared" si="11"/>
        <v>1.4895212580569793E-2</v>
      </c>
      <c r="J90">
        <v>-1.8930228692523886E-4</v>
      </c>
      <c r="K90" s="27">
        <f t="shared" si="12"/>
        <v>1.1006219504358258E-2</v>
      </c>
      <c r="L90" s="27">
        <f t="shared" si="13"/>
        <v>9.8812069176493419E-3</v>
      </c>
      <c r="M90" s="2">
        <v>-1.1721611721611732E-2</v>
      </c>
      <c r="N90" s="27">
        <f t="shared" si="14"/>
        <v>-5.2608993032823501E-4</v>
      </c>
      <c r="O90" s="2">
        <v>-4.9754900074923019E-3</v>
      </c>
      <c r="P90" s="27">
        <f t="shared" si="15"/>
        <v>6.2200317837911951E-3</v>
      </c>
      <c r="Q90" s="2">
        <v>-5.306774051431427E-3</v>
      </c>
      <c r="R90" s="27">
        <f t="shared" si="16"/>
        <v>5.88874773985207E-3</v>
      </c>
      <c r="S90" s="2">
        <v>-1.3006316023889629E-3</v>
      </c>
      <c r="T90" s="27">
        <f t="shared" si="17"/>
        <v>9.8948901888945336E-3</v>
      </c>
    </row>
    <row r="91" spans="1:20">
      <c r="A91" s="1">
        <v>42814</v>
      </c>
      <c r="B91">
        <v>-2.0098934090192425E-3</v>
      </c>
      <c r="C91" s="2">
        <v>-1.4961585119288284E-2</v>
      </c>
      <c r="D91" s="2">
        <v>3.1865751233294853E-2</v>
      </c>
      <c r="E91" s="2">
        <f t="shared" si="9"/>
        <v>4.682733635258314E-2</v>
      </c>
      <c r="F91" s="2">
        <v>-7.4208862950074887E-3</v>
      </c>
      <c r="G91" s="2">
        <f t="shared" si="10"/>
        <v>7.5406988242807949E-3</v>
      </c>
      <c r="H91" s="2">
        <v>4.5363606075512477E-3</v>
      </c>
      <c r="I91" s="2">
        <f t="shared" si="11"/>
        <v>1.9497945726839532E-2</v>
      </c>
      <c r="J91">
        <v>1.5528822881083044E-2</v>
      </c>
      <c r="K91" s="27">
        <f t="shared" si="12"/>
        <v>3.0490408000371328E-2</v>
      </c>
      <c r="L91" s="27">
        <f t="shared" si="13"/>
        <v>1.2951691710269041E-2</v>
      </c>
      <c r="M91" s="2">
        <v>6.7457375833951089E-2</v>
      </c>
      <c r="N91" s="27">
        <f t="shared" si="14"/>
        <v>8.2418960953239376E-2</v>
      </c>
      <c r="O91" s="2">
        <v>1.0500833334658352E-2</v>
      </c>
      <c r="P91" s="27">
        <f t="shared" si="15"/>
        <v>2.5462418453946638E-2</v>
      </c>
      <c r="Q91" s="2">
        <v>2.7130717089707203E-4</v>
      </c>
      <c r="R91" s="27">
        <f t="shared" si="16"/>
        <v>1.5232892290185356E-2</v>
      </c>
      <c r="S91" s="2">
        <v>5.4674625558012481E-3</v>
      </c>
      <c r="T91" s="27">
        <f t="shared" si="17"/>
        <v>2.0429047675089532E-2</v>
      </c>
    </row>
    <row r="92" spans="1:20">
      <c r="A92" s="1">
        <v>42815</v>
      </c>
      <c r="B92">
        <v>-1.2407972866659898E-2</v>
      </c>
      <c r="C92" s="2">
        <v>-1.6420361247947469E-2</v>
      </c>
      <c r="D92" s="2">
        <v>-3.2343464086481491E-2</v>
      </c>
      <c r="E92" s="2">
        <f t="shared" si="9"/>
        <v>-1.5923102838534021E-2</v>
      </c>
      <c r="F92" s="2">
        <v>-2.2551712576689729E-2</v>
      </c>
      <c r="G92" s="2">
        <f t="shared" si="10"/>
        <v>-6.1313513287422593E-3</v>
      </c>
      <c r="H92" s="2">
        <v>-1.1007646964996006E-2</v>
      </c>
      <c r="I92" s="2">
        <f t="shared" si="11"/>
        <v>5.4127142829514634E-3</v>
      </c>
      <c r="J92">
        <v>-2.0139897435897443E-2</v>
      </c>
      <c r="K92" s="27">
        <f t="shared" si="12"/>
        <v>-3.719536187949974E-3</v>
      </c>
      <c r="L92" s="27">
        <f t="shared" si="13"/>
        <v>4.0123883812875714E-3</v>
      </c>
      <c r="M92" s="2">
        <v>-4.027777777777778E-2</v>
      </c>
      <c r="N92" s="27">
        <f t="shared" si="14"/>
        <v>-2.3857416529830311E-2</v>
      </c>
      <c r="O92" s="2">
        <v>-1.1452102999268469E-2</v>
      </c>
      <c r="P92" s="27">
        <f t="shared" si="15"/>
        <v>4.9682582486790007E-3</v>
      </c>
      <c r="Q92" s="2">
        <v>-2.3594254358415206E-2</v>
      </c>
      <c r="R92" s="27">
        <f t="shared" si="16"/>
        <v>-7.1738931104677363E-3</v>
      </c>
      <c r="S92" s="2">
        <v>-1.60681931292549E-2</v>
      </c>
      <c r="T92" s="27">
        <f t="shared" si="17"/>
        <v>3.5216811869256959E-4</v>
      </c>
    </row>
    <row r="93" spans="1:20">
      <c r="A93" s="1">
        <v>42816</v>
      </c>
      <c r="B93">
        <v>1.8898861623204584E-3</v>
      </c>
      <c r="C93" s="2">
        <v>9.1819699499166279E-3</v>
      </c>
      <c r="D93" s="2">
        <v>2.0394612719962846E-2</v>
      </c>
      <c r="E93" s="2">
        <f t="shared" si="9"/>
        <v>1.1212642770046218E-2</v>
      </c>
      <c r="F93" s="2">
        <v>1.1786794785612148E-2</v>
      </c>
      <c r="G93" s="2">
        <f t="shared" si="10"/>
        <v>2.6048248356955201E-3</v>
      </c>
      <c r="H93" s="2">
        <v>9.4177166620597625E-3</v>
      </c>
      <c r="I93" s="2">
        <f t="shared" si="11"/>
        <v>2.3574671214313461E-4</v>
      </c>
      <c r="J93">
        <v>9.5156536117862265E-3</v>
      </c>
      <c r="K93" s="27">
        <f t="shared" si="12"/>
        <v>3.3368366186959861E-4</v>
      </c>
      <c r="L93" s="27">
        <f t="shared" si="13"/>
        <v>-7.2920837875961693E-3</v>
      </c>
      <c r="M93" s="2">
        <v>2.0260492040520939E-2</v>
      </c>
      <c r="N93" s="27">
        <f t="shared" si="14"/>
        <v>1.1078522090604311E-2</v>
      </c>
      <c r="O93" s="2">
        <v>1.129863500573353E-2</v>
      </c>
      <c r="P93" s="27">
        <f t="shared" si="15"/>
        <v>2.1166650558169017E-3</v>
      </c>
      <c r="Q93" s="2">
        <v>6.4807781429910751E-3</v>
      </c>
      <c r="R93" s="27">
        <f t="shared" si="16"/>
        <v>-2.7011918069255528E-3</v>
      </c>
      <c r="S93" s="2">
        <v>5.7637404303072228E-3</v>
      </c>
      <c r="T93" s="27">
        <f t="shared" si="17"/>
        <v>-3.418229519609405E-3</v>
      </c>
    </row>
    <row r="94" spans="1:20">
      <c r="A94" s="1">
        <v>42817</v>
      </c>
      <c r="B94">
        <v>-1.0602695616058434E-3</v>
      </c>
      <c r="C94" s="2">
        <v>-7.4441687344914131E-3</v>
      </c>
      <c r="D94" s="2">
        <v>-9.0682355352987281E-3</v>
      </c>
      <c r="E94" s="2">
        <f t="shared" si="9"/>
        <v>-1.624066800807315E-3</v>
      </c>
      <c r="F94" s="2">
        <v>-2.479548647903623E-4</v>
      </c>
      <c r="G94" s="2">
        <f t="shared" si="10"/>
        <v>7.1962138697010507E-3</v>
      </c>
      <c r="H94" s="2">
        <v>-2.827065677583852E-3</v>
      </c>
      <c r="I94" s="2">
        <f t="shared" si="11"/>
        <v>4.6171030569075611E-3</v>
      </c>
      <c r="J94">
        <v>2.0360110108779726E-2</v>
      </c>
      <c r="K94" s="27">
        <f t="shared" si="12"/>
        <v>2.7804278843271139E-2</v>
      </c>
      <c r="L94" s="27">
        <f t="shared" si="13"/>
        <v>6.3838991728855697E-3</v>
      </c>
      <c r="M94" s="2">
        <v>-2.1985815602836915E-2</v>
      </c>
      <c r="N94" s="27">
        <f t="shared" si="14"/>
        <v>-1.4541646868345501E-2</v>
      </c>
      <c r="O94" s="2">
        <v>-3.5355447521901017E-3</v>
      </c>
      <c r="P94" s="27">
        <f t="shared" si="15"/>
        <v>3.9086239823013114E-3</v>
      </c>
      <c r="Q94" s="2">
        <v>-2.5756034715928083E-3</v>
      </c>
      <c r="R94" s="27">
        <f t="shared" si="16"/>
        <v>4.8685652628986048E-3</v>
      </c>
      <c r="S94" s="2">
        <v>-8.0182180695187997E-4</v>
      </c>
      <c r="T94" s="27">
        <f t="shared" si="17"/>
        <v>6.6423469275395334E-3</v>
      </c>
    </row>
    <row r="95" spans="1:20">
      <c r="A95" s="1">
        <v>42818</v>
      </c>
      <c r="B95">
        <v>-8.4399607534476262E-4</v>
      </c>
      <c r="C95" s="2">
        <v>-1.1249999999999871E-2</v>
      </c>
      <c r="D95" s="2">
        <v>3.5484801618633601E-3</v>
      </c>
      <c r="E95" s="2">
        <f t="shared" si="9"/>
        <v>1.479848016186323E-2</v>
      </c>
      <c r="F95" s="2">
        <v>-9.9168656430285323E-4</v>
      </c>
      <c r="G95" s="2">
        <f t="shared" si="10"/>
        <v>1.0258313435697018E-2</v>
      </c>
      <c r="H95" s="2">
        <v>-3.1188637120707239E-3</v>
      </c>
      <c r="I95" s="2">
        <f t="shared" si="11"/>
        <v>8.1311362879291464E-3</v>
      </c>
      <c r="J95">
        <v>-1.9399445727482335E-3</v>
      </c>
      <c r="K95" s="27">
        <f t="shared" si="12"/>
        <v>9.310055427251638E-3</v>
      </c>
      <c r="L95" s="27">
        <f t="shared" si="13"/>
        <v>1.0406003924655108E-2</v>
      </c>
      <c r="M95" s="2">
        <v>-6.5264684554024559E-3</v>
      </c>
      <c r="N95" s="27">
        <f t="shared" si="14"/>
        <v>4.7235315445974153E-3</v>
      </c>
      <c r="O95" s="2">
        <v>-1.986947745400881E-3</v>
      </c>
      <c r="P95" s="27">
        <f t="shared" si="15"/>
        <v>9.2630522545989902E-3</v>
      </c>
      <c r="Q95" s="2">
        <v>9.7297789174631347E-3</v>
      </c>
      <c r="R95" s="27">
        <f t="shared" si="16"/>
        <v>2.0979778917463006E-2</v>
      </c>
      <c r="S95" s="2">
        <v>-2.088814923122869E-3</v>
      </c>
      <c r="T95" s="27">
        <f t="shared" si="17"/>
        <v>9.1611850768770018E-3</v>
      </c>
    </row>
    <row r="96" spans="1:20">
      <c r="A96" s="1">
        <v>42821</v>
      </c>
      <c r="B96">
        <v>-1.0195872065426707E-3</v>
      </c>
      <c r="C96" s="2">
        <v>1.5170670037926499E-2</v>
      </c>
      <c r="D96" s="2">
        <v>7.2577836781108135E-3</v>
      </c>
      <c r="E96" s="2">
        <f t="shared" si="9"/>
        <v>-7.9128863598156851E-3</v>
      </c>
      <c r="F96" s="2">
        <v>-7.4459805168878472E-4</v>
      </c>
      <c r="G96" s="2">
        <f t="shared" si="10"/>
        <v>-1.5915268089615284E-2</v>
      </c>
      <c r="H96" s="2">
        <v>6.5415072888447027E-3</v>
      </c>
      <c r="I96" s="2">
        <f t="shared" si="11"/>
        <v>-8.6291627490817958E-3</v>
      </c>
      <c r="J96">
        <v>3.7024249934975025E-4</v>
      </c>
      <c r="K96" s="27">
        <f t="shared" si="12"/>
        <v>-1.4800427538576749E-2</v>
      </c>
      <c r="L96" s="27">
        <f t="shared" si="13"/>
        <v>-1.619025724446917E-2</v>
      </c>
      <c r="M96" s="2">
        <v>0</v>
      </c>
      <c r="N96" s="27">
        <f t="shared" si="14"/>
        <v>-1.5170670037926499E-2</v>
      </c>
      <c r="O96" s="2">
        <v>1.706616199328692E-3</v>
      </c>
      <c r="P96" s="27">
        <f t="shared" si="15"/>
        <v>-1.3464053838597808E-2</v>
      </c>
      <c r="Q96" s="2">
        <v>3.6531710111517682E-4</v>
      </c>
      <c r="R96" s="27">
        <f t="shared" si="16"/>
        <v>-1.4805352936811322E-2</v>
      </c>
      <c r="S96" s="2">
        <v>1.4309457332152727E-3</v>
      </c>
      <c r="T96" s="27">
        <f t="shared" si="17"/>
        <v>-1.3739724304711227E-2</v>
      </c>
    </row>
    <row r="97" spans="1:20">
      <c r="A97" s="1">
        <v>42822</v>
      </c>
      <c r="B97">
        <v>7.2514741529773972E-3</v>
      </c>
      <c r="C97" s="2">
        <v>-9.5475300954751714E-3</v>
      </c>
      <c r="D97" s="2">
        <v>-5.1730924148831797E-3</v>
      </c>
      <c r="E97" s="2">
        <f t="shared" si="9"/>
        <v>4.3744376805919917E-3</v>
      </c>
      <c r="F97" s="2">
        <v>9.9360044494349684E-4</v>
      </c>
      <c r="G97" s="2">
        <f t="shared" si="10"/>
        <v>1.0541130540418667E-2</v>
      </c>
      <c r="H97" s="2">
        <v>5.9337562769177432E-3</v>
      </c>
      <c r="I97" s="2">
        <f t="shared" si="11"/>
        <v>1.5481286372392915E-2</v>
      </c>
      <c r="J97">
        <v>-2.5906642747840574E-3</v>
      </c>
      <c r="K97" s="27">
        <f t="shared" si="12"/>
        <v>6.9568658206911136E-3</v>
      </c>
      <c r="L97" s="27">
        <f t="shared" si="13"/>
        <v>1.679900424845257E-2</v>
      </c>
      <c r="M97" s="2">
        <v>-7.2992700729925452E-4</v>
      </c>
      <c r="N97" s="27">
        <f t="shared" si="14"/>
        <v>8.8176030881759165E-3</v>
      </c>
      <c r="O97" s="2">
        <v>2.0726740983083566E-2</v>
      </c>
      <c r="P97" s="27">
        <f t="shared" si="15"/>
        <v>3.0274271078558738E-2</v>
      </c>
      <c r="Q97" s="2">
        <v>8.6737778990524893E-3</v>
      </c>
      <c r="R97" s="27">
        <f t="shared" si="16"/>
        <v>1.8221307994527661E-2</v>
      </c>
      <c r="S97" s="2">
        <v>1.0840548078831547E-2</v>
      </c>
      <c r="T97" s="27">
        <f t="shared" si="17"/>
        <v>2.0388078174306719E-2</v>
      </c>
    </row>
    <row r="98" spans="1:20">
      <c r="A98" s="1">
        <v>42823</v>
      </c>
      <c r="B98">
        <v>1.0853249749627838E-3</v>
      </c>
      <c r="C98" s="2">
        <v>1.2573344509639482E-2</v>
      </c>
      <c r="D98" s="2">
        <v>-3.2501697329467959E-3</v>
      </c>
      <c r="E98" s="2">
        <f t="shared" si="9"/>
        <v>-1.5823514242586278E-2</v>
      </c>
      <c r="F98" s="2">
        <v>-1.488725373026872E-3</v>
      </c>
      <c r="G98" s="2">
        <f t="shared" si="10"/>
        <v>-1.4062069882666353E-2</v>
      </c>
      <c r="H98" s="2">
        <v>-8.4253991094369082E-4</v>
      </c>
      <c r="I98" s="2">
        <f t="shared" si="11"/>
        <v>-1.3415884420583172E-2</v>
      </c>
      <c r="J98">
        <v>1.5862699001965668E-2</v>
      </c>
      <c r="K98" s="27">
        <f t="shared" si="12"/>
        <v>3.2893544923261863E-3</v>
      </c>
      <c r="L98" s="27">
        <f t="shared" si="13"/>
        <v>-1.1488019534676697E-2</v>
      </c>
      <c r="M98" s="2">
        <v>1.4609203798393974E-3</v>
      </c>
      <c r="N98" s="27">
        <f t="shared" si="14"/>
        <v>-1.1112424129800085E-2</v>
      </c>
      <c r="O98" s="2">
        <v>2.2253062260218699E-3</v>
      </c>
      <c r="P98" s="27">
        <f t="shared" si="15"/>
        <v>-1.0348038283617612E-2</v>
      </c>
      <c r="Q98" s="2">
        <v>1.6293778917237077E-3</v>
      </c>
      <c r="R98" s="27">
        <f t="shared" si="16"/>
        <v>-1.0943966617915774E-2</v>
      </c>
      <c r="S98" s="2">
        <v>2.1401877336448636E-2</v>
      </c>
      <c r="T98" s="27">
        <f t="shared" si="17"/>
        <v>8.8285328268091542E-3</v>
      </c>
    </row>
    <row r="99" spans="1:20">
      <c r="A99" s="1">
        <v>42824</v>
      </c>
      <c r="B99">
        <v>2.9351100292689179E-3</v>
      </c>
      <c r="C99" s="2">
        <v>-8.278145695364246E-3</v>
      </c>
      <c r="D99" s="2">
        <v>1.9191424799125771E-2</v>
      </c>
      <c r="E99" s="2">
        <f t="shared" si="9"/>
        <v>2.7469570494490017E-2</v>
      </c>
      <c r="F99" s="2">
        <v>6.8332088115595959E-3</v>
      </c>
      <c r="G99" s="2">
        <f t="shared" si="10"/>
        <v>1.5111354506923842E-2</v>
      </c>
      <c r="H99" s="2">
        <v>5.0603921359704471E-3</v>
      </c>
      <c r="I99" s="2">
        <f t="shared" si="11"/>
        <v>1.3338537831334693E-2</v>
      </c>
      <c r="J99">
        <v>-6.0268832795747802E-3</v>
      </c>
      <c r="K99" s="27">
        <f t="shared" si="12"/>
        <v>2.2512624157894658E-3</v>
      </c>
      <c r="L99" s="27">
        <f t="shared" si="13"/>
        <v>1.1213255724633164E-2</v>
      </c>
      <c r="M99" s="2">
        <v>2.4799416484318004E-2</v>
      </c>
      <c r="N99" s="27">
        <f t="shared" si="14"/>
        <v>3.3077562179682246E-2</v>
      </c>
      <c r="O99" s="2">
        <v>-1.318362039304977E-3</v>
      </c>
      <c r="P99" s="27">
        <f t="shared" si="15"/>
        <v>6.9597836560592692E-3</v>
      </c>
      <c r="Q99" s="2">
        <v>-5.7386010530358468E-3</v>
      </c>
      <c r="R99" s="27">
        <f t="shared" si="16"/>
        <v>2.5395446423283992E-3</v>
      </c>
      <c r="S99" s="2">
        <v>2.3103897701381676E-3</v>
      </c>
      <c r="T99" s="27">
        <f t="shared" si="17"/>
        <v>1.0588535465502414E-2</v>
      </c>
    </row>
    <row r="100" spans="1:20">
      <c r="A100" s="1">
        <v>42825</v>
      </c>
      <c r="B100">
        <v>-2.2550475355151978E-3</v>
      </c>
      <c r="C100" s="2">
        <v>-1.9198664440734484E-2</v>
      </c>
      <c r="D100" s="2">
        <v>-4.2961650984376923E-3</v>
      </c>
      <c r="E100" s="2">
        <f t="shared" si="9"/>
        <v>1.4902499342296791E-2</v>
      </c>
      <c r="F100" s="2">
        <v>-5.9230281659704365E-3</v>
      </c>
      <c r="G100" s="2">
        <f t="shared" si="10"/>
        <v>1.3275636274764049E-2</v>
      </c>
      <c r="H100" s="2">
        <v>8.9509922386424128E-3</v>
      </c>
      <c r="I100" s="2">
        <f t="shared" si="11"/>
        <v>2.8149656679376897E-2</v>
      </c>
      <c r="J100">
        <v>-9.3706570394241628E-3</v>
      </c>
      <c r="K100" s="27">
        <f t="shared" si="12"/>
        <v>9.8280074013103215E-3</v>
      </c>
      <c r="L100" s="27">
        <f t="shared" si="13"/>
        <v>1.6943616905219287E-2</v>
      </c>
      <c r="M100" s="2">
        <v>3.5587188612099641E-2</v>
      </c>
      <c r="N100" s="27">
        <f t="shared" si="14"/>
        <v>5.4785853052834121E-2</v>
      </c>
      <c r="O100" s="2">
        <v>-1.8757859164544967E-3</v>
      </c>
      <c r="P100" s="27">
        <f t="shared" si="15"/>
        <v>1.7322878524279987E-2</v>
      </c>
      <c r="Q100" s="2">
        <v>-4.9080695307177867E-3</v>
      </c>
      <c r="R100" s="27">
        <f t="shared" si="16"/>
        <v>1.4290594910016698E-2</v>
      </c>
      <c r="S100" s="2">
        <v>1.1639261799917826E-2</v>
      </c>
      <c r="T100" s="27">
        <f t="shared" si="17"/>
        <v>3.0837926240652312E-2</v>
      </c>
    </row>
    <row r="101" spans="1:20">
      <c r="A101" s="1">
        <v>42828</v>
      </c>
      <c r="B101">
        <v>-1.642125621157694E-3</v>
      </c>
      <c r="C101" s="2">
        <v>0</v>
      </c>
      <c r="D101" s="2">
        <v>-5.0491594065659026E-3</v>
      </c>
      <c r="E101" s="2">
        <f t="shared" si="9"/>
        <v>-5.0491594065659026E-3</v>
      </c>
      <c r="F101" s="2">
        <v>-2.482588845023519E-3</v>
      </c>
      <c r="G101" s="2">
        <f t="shared" si="10"/>
        <v>-2.482588845023519E-3</v>
      </c>
      <c r="H101" s="2">
        <v>2.4952219966316016E-3</v>
      </c>
      <c r="I101" s="2">
        <f t="shared" si="11"/>
        <v>2.4952219966316016E-3</v>
      </c>
      <c r="J101">
        <v>2.4111471313893332E-3</v>
      </c>
      <c r="K101" s="27">
        <f t="shared" si="12"/>
        <v>2.4111471313893332E-3</v>
      </c>
      <c r="L101" s="27">
        <f t="shared" si="13"/>
        <v>-1.642125621157694E-3</v>
      </c>
      <c r="M101" s="2">
        <v>6.1855670103092685E-3</v>
      </c>
      <c r="N101" s="27">
        <f t="shared" si="14"/>
        <v>6.1855670103092685E-3</v>
      </c>
      <c r="O101" s="2">
        <v>2.7842376262868766E-4</v>
      </c>
      <c r="P101" s="27">
        <f t="shared" si="15"/>
        <v>2.7842376262868766E-4</v>
      </c>
      <c r="Q101" s="2">
        <v>-7.307458124106098E-4</v>
      </c>
      <c r="R101" s="27">
        <f t="shared" si="16"/>
        <v>-7.307458124106098E-4</v>
      </c>
      <c r="S101" s="2">
        <v>5.606100258684495E-3</v>
      </c>
      <c r="T101" s="27">
        <f t="shared" si="17"/>
        <v>5.606100258684495E-3</v>
      </c>
    </row>
    <row r="102" spans="1:20">
      <c r="A102" s="1">
        <v>42829</v>
      </c>
      <c r="B102">
        <v>5.5952245627604127E-4</v>
      </c>
      <c r="C102" s="2">
        <v>2.9787234042553687E-3</v>
      </c>
      <c r="D102" s="2">
        <v>-7.0123576303972326E-2</v>
      </c>
      <c r="E102" s="2">
        <f t="shared" si="9"/>
        <v>-7.3102299708227694E-2</v>
      </c>
      <c r="F102" s="2">
        <v>2.9865234531694798E-3</v>
      </c>
      <c r="G102" s="2">
        <f t="shared" si="10"/>
        <v>7.800048914111124E-6</v>
      </c>
      <c r="H102" s="2">
        <v>3.3185029857407352E-3</v>
      </c>
      <c r="I102" s="2">
        <f t="shared" si="11"/>
        <v>3.3977958148536649E-4</v>
      </c>
      <c r="J102">
        <v>-5.2733742352992193E-3</v>
      </c>
      <c r="K102" s="27">
        <f t="shared" si="12"/>
        <v>-8.252097639554588E-3</v>
      </c>
      <c r="L102" s="27">
        <f t="shared" si="13"/>
        <v>-2.4192009479793277E-3</v>
      </c>
      <c r="M102" s="2">
        <v>-3.2786885245901669E-2</v>
      </c>
      <c r="N102" s="27">
        <f t="shared" si="14"/>
        <v>-3.5765608650157037E-2</v>
      </c>
      <c r="O102" s="2">
        <v>7.4460723473589912E-3</v>
      </c>
      <c r="P102" s="27">
        <f t="shared" si="15"/>
        <v>4.4673489431036224E-3</v>
      </c>
      <c r="Q102" s="2">
        <v>7.3128019234886758E-4</v>
      </c>
      <c r="R102" s="27">
        <f t="shared" si="16"/>
        <v>-2.247443211906501E-3</v>
      </c>
      <c r="S102" s="2">
        <v>1.7184335372745881E-2</v>
      </c>
      <c r="T102" s="27">
        <f t="shared" si="17"/>
        <v>1.4205611968490513E-2</v>
      </c>
    </row>
    <row r="103" spans="1:20">
      <c r="A103" s="1">
        <v>42830</v>
      </c>
      <c r="B103">
        <v>-3.0548612250134773E-3</v>
      </c>
      <c r="C103" s="2">
        <v>-5.9397539244803706E-3</v>
      </c>
      <c r="D103" s="2">
        <v>-7.4420130416716036E-3</v>
      </c>
      <c r="E103" s="2">
        <f t="shared" si="9"/>
        <v>-1.502259117191233E-3</v>
      </c>
      <c r="F103" s="2">
        <v>-6.4515352668384277E-3</v>
      </c>
      <c r="G103" s="2">
        <f t="shared" si="10"/>
        <v>-5.1178134235805705E-4</v>
      </c>
      <c r="H103" s="2">
        <v>-1.6536931170978843E-3</v>
      </c>
      <c r="I103" s="2">
        <f t="shared" si="11"/>
        <v>4.2860608073824868E-3</v>
      </c>
      <c r="J103">
        <v>-7.4400113683035824E-4</v>
      </c>
      <c r="K103" s="27">
        <f t="shared" si="12"/>
        <v>5.1957527876500126E-3</v>
      </c>
      <c r="L103" s="27">
        <f t="shared" si="13"/>
        <v>2.8848926994668933E-3</v>
      </c>
      <c r="M103" s="2">
        <v>7.0621468926552165E-4</v>
      </c>
      <c r="N103" s="27">
        <f t="shared" si="14"/>
        <v>6.6459686137458921E-3</v>
      </c>
      <c r="O103" s="2">
        <v>-5.1806492989886323E-3</v>
      </c>
      <c r="P103" s="27">
        <f t="shared" si="15"/>
        <v>7.5910462549173829E-4</v>
      </c>
      <c r="Q103" s="2">
        <v>-8.3577523930143723E-3</v>
      </c>
      <c r="R103" s="27">
        <f t="shared" si="16"/>
        <v>-2.4179984685340017E-3</v>
      </c>
      <c r="S103" s="2">
        <v>2.7017323578515987E-3</v>
      </c>
      <c r="T103" s="27">
        <f t="shared" si="17"/>
        <v>8.6414862823319689E-3</v>
      </c>
    </row>
    <row r="104" spans="1:20">
      <c r="A104" s="1">
        <v>42831</v>
      </c>
      <c r="B104">
        <v>1.9295093795218506E-3</v>
      </c>
      <c r="C104" s="2">
        <v>1.2804097311139672E-2</v>
      </c>
      <c r="D104" s="2">
        <v>7.297825599705164E-3</v>
      </c>
      <c r="E104" s="2">
        <f t="shared" si="9"/>
        <v>-5.5062717114345077E-3</v>
      </c>
      <c r="F104" s="2">
        <v>2.4965278504896128E-4</v>
      </c>
      <c r="G104" s="2">
        <f t="shared" si="10"/>
        <v>-1.2554444526090711E-2</v>
      </c>
      <c r="H104" s="2">
        <v>-5.2458060359751512E-3</v>
      </c>
      <c r="I104" s="2">
        <f t="shared" si="11"/>
        <v>-1.8049903347114822E-2</v>
      </c>
      <c r="J104">
        <v>5.5845028744507729E-3</v>
      </c>
      <c r="K104" s="27">
        <f t="shared" si="12"/>
        <v>-7.2195944366888988E-3</v>
      </c>
      <c r="L104" s="27">
        <f t="shared" si="13"/>
        <v>-1.0874587931617821E-2</v>
      </c>
      <c r="M104" s="2">
        <v>-6.3514467184191986E-2</v>
      </c>
      <c r="N104" s="27">
        <f t="shared" si="14"/>
        <v>-7.6318564495331656E-2</v>
      </c>
      <c r="O104" s="2">
        <v>-2.4996275338264105E-3</v>
      </c>
      <c r="P104" s="27">
        <f t="shared" si="15"/>
        <v>-1.5303724844966083E-2</v>
      </c>
      <c r="Q104" s="2">
        <v>1.70403372984413E-3</v>
      </c>
      <c r="R104" s="27">
        <f t="shared" si="16"/>
        <v>-1.1100063581295542E-2</v>
      </c>
      <c r="S104" s="2">
        <v>-1.2097483337556069E-2</v>
      </c>
      <c r="T104" s="27">
        <f t="shared" si="17"/>
        <v>-2.4901580648695743E-2</v>
      </c>
    </row>
    <row r="105" spans="1:20">
      <c r="A105" s="1">
        <v>42832</v>
      </c>
      <c r="B105">
        <v>-8.2713012919306416E-4</v>
      </c>
      <c r="C105" s="2">
        <v>-5.0568900126422289E-3</v>
      </c>
      <c r="D105" s="2">
        <v>-4.2675589598348621E-3</v>
      </c>
      <c r="E105" s="2">
        <f t="shared" si="9"/>
        <v>7.8933105280736687E-4</v>
      </c>
      <c r="F105" s="2">
        <v>5.3681730413567674E-3</v>
      </c>
      <c r="G105" s="2">
        <f t="shared" si="10"/>
        <v>1.0425063053998996E-2</v>
      </c>
      <c r="H105" s="2">
        <v>0</v>
      </c>
      <c r="I105" s="2">
        <f t="shared" si="11"/>
        <v>5.0568900126422289E-3</v>
      </c>
      <c r="J105">
        <v>8.7930117660772345E-3</v>
      </c>
      <c r="K105" s="27">
        <f t="shared" si="12"/>
        <v>1.3849901778719463E-2</v>
      </c>
      <c r="L105" s="27">
        <f t="shared" si="13"/>
        <v>4.229759883449165E-3</v>
      </c>
      <c r="M105" s="2">
        <v>1.8839487565938208E-2</v>
      </c>
      <c r="N105" s="27">
        <f t="shared" si="14"/>
        <v>2.3896377578580437E-2</v>
      </c>
      <c r="O105" s="2">
        <v>-2.2275732004281732E-3</v>
      </c>
      <c r="P105" s="27">
        <f t="shared" si="15"/>
        <v>2.8293168122140557E-3</v>
      </c>
      <c r="Q105" s="2">
        <v>3.4483254369497597E-3</v>
      </c>
      <c r="R105" s="27">
        <f t="shared" si="16"/>
        <v>8.5052154495919886E-3</v>
      </c>
      <c r="S105" s="2">
        <v>-3.7850379505654469E-3</v>
      </c>
      <c r="T105" s="27">
        <f t="shared" si="17"/>
        <v>1.271852062076782E-3</v>
      </c>
    </row>
    <row r="106" spans="1:20">
      <c r="A106" s="1">
        <v>42835</v>
      </c>
      <c r="B106">
        <v>6.8768646390225837E-4</v>
      </c>
      <c r="C106" s="2">
        <v>-2.6683608640406677E-2</v>
      </c>
      <c r="D106" s="2">
        <v>-2.5515835998068483E-2</v>
      </c>
      <c r="E106" s="2">
        <f t="shared" si="9"/>
        <v>1.167772642338194E-3</v>
      </c>
      <c r="F106" s="2">
        <v>-4.9669395098523609E-3</v>
      </c>
      <c r="G106" s="2">
        <f t="shared" si="10"/>
        <v>2.1716669130554315E-2</v>
      </c>
      <c r="H106" s="2">
        <v>-6.3834679453061505E-3</v>
      </c>
      <c r="I106" s="2">
        <f t="shared" si="11"/>
        <v>2.0300140695100527E-2</v>
      </c>
      <c r="J106">
        <v>2.4864657764283989E-2</v>
      </c>
      <c r="K106" s="27">
        <f t="shared" si="12"/>
        <v>5.1548266404690665E-2</v>
      </c>
      <c r="L106" s="27">
        <f t="shared" si="13"/>
        <v>2.7371295104308933E-2</v>
      </c>
      <c r="M106" s="2">
        <v>-3.1065088757396445E-2</v>
      </c>
      <c r="N106" s="27">
        <f t="shared" si="14"/>
        <v>-4.3814801169897687E-3</v>
      </c>
      <c r="O106" s="2">
        <v>-1.1859568815073295E-3</v>
      </c>
      <c r="P106" s="27">
        <f t="shared" si="15"/>
        <v>2.5497651758899346E-2</v>
      </c>
      <c r="Q106" s="2">
        <v>-1.0538219476825626E-3</v>
      </c>
      <c r="R106" s="27">
        <f t="shared" si="16"/>
        <v>2.5629786692724116E-2</v>
      </c>
      <c r="S106" s="2">
        <v>1.3588383841473848E-2</v>
      </c>
      <c r="T106" s="27">
        <f t="shared" si="17"/>
        <v>4.0271992481880528E-2</v>
      </c>
    </row>
    <row r="107" spans="1:20">
      <c r="A107" s="1">
        <v>42836</v>
      </c>
      <c r="B107">
        <v>-1.4338793828935876E-3</v>
      </c>
      <c r="C107" s="2">
        <v>-8.7032201914718176E-4</v>
      </c>
      <c r="D107" s="2">
        <v>3.5798588013187991E-3</v>
      </c>
      <c r="E107" s="2">
        <f t="shared" si="9"/>
        <v>4.4501808204659805E-3</v>
      </c>
      <c r="F107" s="2">
        <v>-8.9853892114096917E-3</v>
      </c>
      <c r="G107" s="2">
        <f t="shared" si="10"/>
        <v>-8.1150671922625098E-3</v>
      </c>
      <c r="H107" s="2">
        <v>-1.676007926285955E-3</v>
      </c>
      <c r="I107" s="2">
        <f t="shared" si="11"/>
        <v>-8.0568590713877327E-4</v>
      </c>
      <c r="J107">
        <v>-1.128017040143689E-2</v>
      </c>
      <c r="K107" s="27">
        <f t="shared" si="12"/>
        <v>-1.0409848382289708E-2</v>
      </c>
      <c r="L107" s="27">
        <f t="shared" si="13"/>
        <v>-5.6355736374640584E-4</v>
      </c>
      <c r="M107" s="2">
        <v>0</v>
      </c>
      <c r="N107" s="27">
        <f t="shared" si="14"/>
        <v>8.7032201914718176E-4</v>
      </c>
      <c r="O107" s="2">
        <v>-1.0756355702994975E-2</v>
      </c>
      <c r="P107" s="27">
        <f t="shared" si="15"/>
        <v>-9.8860336838477933E-3</v>
      </c>
      <c r="Q107" s="2">
        <v>-2.1558037793515091E-3</v>
      </c>
      <c r="R107" s="27">
        <f t="shared" si="16"/>
        <v>-1.2854817602043272E-3</v>
      </c>
      <c r="S107" s="2">
        <v>-5.1596325559092032E-3</v>
      </c>
      <c r="T107" s="27">
        <f t="shared" si="17"/>
        <v>-4.2893105367620213E-3</v>
      </c>
    </row>
    <row r="108" spans="1:20">
      <c r="A108" s="1">
        <v>42837</v>
      </c>
      <c r="B108">
        <v>-3.7599507562140187E-3</v>
      </c>
      <c r="C108" s="2">
        <v>-2.7874564459930147E-2</v>
      </c>
      <c r="D108" s="2">
        <v>-8.2552584459088547E-3</v>
      </c>
      <c r="E108" s="2">
        <f t="shared" si="9"/>
        <v>1.9619306014021294E-2</v>
      </c>
      <c r="F108" s="2">
        <v>-1.1711388250481493E-2</v>
      </c>
      <c r="G108" s="2">
        <f t="shared" si="10"/>
        <v>1.6163176209448654E-2</v>
      </c>
      <c r="H108" s="2">
        <v>-3.0777349329000037E-3</v>
      </c>
      <c r="I108" s="2">
        <f t="shared" si="11"/>
        <v>2.4796829527030145E-2</v>
      </c>
      <c r="J108">
        <v>1.7203458580161573E-3</v>
      </c>
      <c r="K108" s="27">
        <f t="shared" si="12"/>
        <v>2.9594910317946303E-2</v>
      </c>
      <c r="L108" s="27">
        <f t="shared" si="13"/>
        <v>2.4114613703716127E-2</v>
      </c>
      <c r="M108" s="2">
        <v>-2.5954198473282432E-2</v>
      </c>
      <c r="N108" s="27">
        <f t="shared" si="14"/>
        <v>1.9203659866477152E-3</v>
      </c>
      <c r="O108" s="2">
        <v>1.2002684937239966E-3</v>
      </c>
      <c r="P108" s="27">
        <f t="shared" si="15"/>
        <v>2.9074832953654144E-2</v>
      </c>
      <c r="Q108" s="2">
        <v>-3.8381994273903784E-2</v>
      </c>
      <c r="R108" s="27">
        <f t="shared" si="16"/>
        <v>-1.0507429813973637E-2</v>
      </c>
      <c r="S108" s="2">
        <v>-6.7933032291985955E-3</v>
      </c>
      <c r="T108" s="27">
        <f t="shared" si="17"/>
        <v>2.1081261230731552E-2</v>
      </c>
    </row>
    <row r="109" spans="1:20">
      <c r="A109" s="1">
        <v>42838</v>
      </c>
      <c r="B109">
        <v>-6.814694452883103E-3</v>
      </c>
      <c r="C109" s="2">
        <v>8.9605734767023177E-3</v>
      </c>
      <c r="D109" s="2">
        <v>-1.8703074278412425E-2</v>
      </c>
      <c r="E109" s="2">
        <f t="shared" si="9"/>
        <v>-2.7663647755114741E-2</v>
      </c>
      <c r="F109" s="2">
        <v>-8.155046426420046E-3</v>
      </c>
      <c r="G109" s="2">
        <f t="shared" si="10"/>
        <v>-1.7115619903122364E-2</v>
      </c>
      <c r="H109" s="2">
        <v>-1.0665257168467444E-2</v>
      </c>
      <c r="I109" s="2">
        <f t="shared" si="11"/>
        <v>-1.9625830645169762E-2</v>
      </c>
      <c r="J109">
        <v>-3.7964206037175139E-3</v>
      </c>
      <c r="K109" s="27">
        <f t="shared" si="12"/>
        <v>-1.2756994080419831E-2</v>
      </c>
      <c r="L109" s="27">
        <f t="shared" si="13"/>
        <v>-1.5775267929585422E-2</v>
      </c>
      <c r="M109" s="2">
        <v>-3.5266457680250732E-2</v>
      </c>
      <c r="N109" s="27">
        <f t="shared" si="14"/>
        <v>-4.4227031156953048E-2</v>
      </c>
      <c r="O109" s="2">
        <v>-5.2891579806298534E-3</v>
      </c>
      <c r="P109" s="27">
        <f t="shared" si="15"/>
        <v>-1.424973145733217E-2</v>
      </c>
      <c r="Q109" s="2">
        <v>1.0133919364188726E-2</v>
      </c>
      <c r="R109" s="27">
        <f t="shared" si="16"/>
        <v>1.1733458874864083E-3</v>
      </c>
      <c r="S109" s="2">
        <v>-1.289847166237393E-2</v>
      </c>
      <c r="T109" s="27">
        <f t="shared" si="17"/>
        <v>-2.1859045139076248E-2</v>
      </c>
    </row>
    <row r="110" spans="1:20">
      <c r="A110" s="1">
        <v>42842</v>
      </c>
      <c r="B110">
        <v>8.6133491152897302E-3</v>
      </c>
      <c r="C110" s="2">
        <v>-3.2415630550621653E-2</v>
      </c>
      <c r="D110" s="2">
        <v>3.9166418150382756E-2</v>
      </c>
      <c r="E110" s="2">
        <f t="shared" si="9"/>
        <v>7.1582048701004403E-2</v>
      </c>
      <c r="F110" s="2">
        <v>1.1305412587247397E-2</v>
      </c>
      <c r="G110" s="2">
        <f t="shared" si="10"/>
        <v>4.3721043137869051E-2</v>
      </c>
      <c r="H110" s="2">
        <v>6.5248058336946071E-3</v>
      </c>
      <c r="I110" s="2">
        <f t="shared" si="11"/>
        <v>3.8940436384316261E-2</v>
      </c>
      <c r="J110">
        <v>1.406408687110145E-2</v>
      </c>
      <c r="K110" s="27">
        <f t="shared" si="12"/>
        <v>4.6479717421723105E-2</v>
      </c>
      <c r="L110" s="27">
        <f t="shared" si="13"/>
        <v>4.1028979665911382E-2</v>
      </c>
      <c r="M110" s="2">
        <v>3.8992688870836609E-2</v>
      </c>
      <c r="N110" s="27">
        <f t="shared" si="14"/>
        <v>7.1408319421458255E-2</v>
      </c>
      <c r="O110" s="2">
        <v>5.5299350435382135E-3</v>
      </c>
      <c r="P110" s="27">
        <f t="shared" si="15"/>
        <v>3.7945565594159868E-2</v>
      </c>
      <c r="Q110" s="2">
        <v>1.2066883953771554E-2</v>
      </c>
      <c r="R110" s="27">
        <f t="shared" si="16"/>
        <v>4.4482514504393209E-2</v>
      </c>
      <c r="S110" s="2">
        <v>1.9577929999688971E-2</v>
      </c>
      <c r="T110" s="27">
        <f t="shared" si="17"/>
        <v>5.1993560550310625E-2</v>
      </c>
    </row>
    <row r="111" spans="1:20">
      <c r="A111" s="1">
        <v>42843</v>
      </c>
      <c r="B111">
        <v>-2.9033801350211684E-3</v>
      </c>
      <c r="C111" s="2">
        <v>1.0555300596604008E-2</v>
      </c>
      <c r="D111" s="2">
        <v>6.0464422256552926E-4</v>
      </c>
      <c r="E111" s="2">
        <f t="shared" si="9"/>
        <v>-9.9506563740384777E-3</v>
      </c>
      <c r="F111" s="2">
        <v>1.1305914930731513E-2</v>
      </c>
      <c r="G111" s="2">
        <f t="shared" si="10"/>
        <v>7.5061433412750532E-4</v>
      </c>
      <c r="H111" s="2">
        <v>8.173748097247668E-3</v>
      </c>
      <c r="I111" s="2">
        <f t="shared" si="11"/>
        <v>-2.3815524993563396E-3</v>
      </c>
      <c r="J111">
        <v>-4.7422959065444867E-3</v>
      </c>
      <c r="K111" s="27">
        <f t="shared" si="12"/>
        <v>-1.5297596503148495E-2</v>
      </c>
      <c r="L111" s="27">
        <f t="shared" si="13"/>
        <v>-1.3458680731625176E-2</v>
      </c>
      <c r="M111" s="2">
        <v>1.2509773260359668E-2</v>
      </c>
      <c r="N111" s="27">
        <f t="shared" si="14"/>
        <v>1.9544726637556603E-3</v>
      </c>
      <c r="O111" s="2">
        <v>-4.4419979008423838E-3</v>
      </c>
      <c r="P111" s="27">
        <f t="shared" si="15"/>
        <v>-1.4997298497446392E-2</v>
      </c>
      <c r="Q111" s="2">
        <v>-3.6002359307880098E-3</v>
      </c>
      <c r="R111" s="27">
        <f t="shared" si="16"/>
        <v>-1.4155536527392017E-2</v>
      </c>
      <c r="S111" s="2">
        <v>1.9845441965492087E-3</v>
      </c>
      <c r="T111" s="27">
        <f t="shared" si="17"/>
        <v>-8.5707564000547989E-3</v>
      </c>
    </row>
    <row r="112" spans="1:20">
      <c r="A112" s="1">
        <v>42844</v>
      </c>
      <c r="B112">
        <v>-1.7163505528008957E-3</v>
      </c>
      <c r="C112" s="2">
        <v>1.7711171662125408E-2</v>
      </c>
      <c r="D112" s="2">
        <v>3.9278680179836659E-3</v>
      </c>
      <c r="E112" s="2">
        <f t="shared" si="9"/>
        <v>-1.3783303644141742E-2</v>
      </c>
      <c r="F112" s="2">
        <v>-3.0147614699066695E-3</v>
      </c>
      <c r="G112" s="2">
        <f t="shared" si="10"/>
        <v>-2.0725933132032078E-2</v>
      </c>
      <c r="H112" s="2">
        <v>3.9138316510625645E-3</v>
      </c>
      <c r="I112" s="2">
        <f t="shared" si="11"/>
        <v>-1.3797340011062843E-2</v>
      </c>
      <c r="J112">
        <v>-4.2254876141646453E-3</v>
      </c>
      <c r="K112" s="27">
        <f t="shared" si="12"/>
        <v>-2.1936659276290054E-2</v>
      </c>
      <c r="L112" s="27">
        <f t="shared" si="13"/>
        <v>-1.9427522214926305E-2</v>
      </c>
      <c r="M112" s="2">
        <v>-8.4942084942084516E-3</v>
      </c>
      <c r="N112" s="27">
        <f t="shared" si="14"/>
        <v>-2.6205380156333859E-2</v>
      </c>
      <c r="O112" s="2">
        <v>-3.6826332321147786E-3</v>
      </c>
      <c r="P112" s="27">
        <f t="shared" si="15"/>
        <v>-2.1393804894240188E-2</v>
      </c>
      <c r="Q112" s="2">
        <v>2.4870996654637327E-3</v>
      </c>
      <c r="R112" s="27">
        <f t="shared" si="16"/>
        <v>-1.5224071996661676E-2</v>
      </c>
      <c r="S112" s="2">
        <v>-5.0676235953870559E-3</v>
      </c>
      <c r="T112" s="27">
        <f t="shared" si="17"/>
        <v>-2.2778795257512464E-2</v>
      </c>
    </row>
    <row r="113" spans="1:20">
      <c r="A113" s="1">
        <v>42845</v>
      </c>
      <c r="B113">
        <v>7.5572634109010153E-3</v>
      </c>
      <c r="C113" s="2">
        <v>-1.7849174475680514E-3</v>
      </c>
      <c r="D113" s="2">
        <v>1.5850729599951655E-2</v>
      </c>
      <c r="E113" s="2">
        <f t="shared" si="9"/>
        <v>1.7635647047519708E-2</v>
      </c>
      <c r="F113" s="2">
        <v>1.7512954424040963E-2</v>
      </c>
      <c r="G113" s="2">
        <f t="shared" si="10"/>
        <v>1.9297871871609015E-2</v>
      </c>
      <c r="H113" s="2">
        <v>7.5187907928776325E-3</v>
      </c>
      <c r="I113" s="2">
        <f t="shared" si="11"/>
        <v>9.3037082404456833E-3</v>
      </c>
      <c r="J113">
        <v>1.9862738897386406E-2</v>
      </c>
      <c r="K113" s="27">
        <f t="shared" si="12"/>
        <v>2.1647656344954459E-2</v>
      </c>
      <c r="L113" s="27">
        <f t="shared" si="13"/>
        <v>9.3421808584690669E-3</v>
      </c>
      <c r="M113" s="2">
        <v>2.1028037383177538E-2</v>
      </c>
      <c r="N113" s="27">
        <f t="shared" si="14"/>
        <v>2.281295483074559E-2</v>
      </c>
      <c r="O113" s="2">
        <v>1.2510544658327774E-2</v>
      </c>
      <c r="P113" s="27">
        <f t="shared" si="15"/>
        <v>1.4295462105895825E-2</v>
      </c>
      <c r="Q113" s="2">
        <v>2.14389103227575E-2</v>
      </c>
      <c r="R113" s="27">
        <f t="shared" si="16"/>
        <v>2.3223827770325552E-2</v>
      </c>
      <c r="S113" s="2">
        <v>3.1805893703657283E-3</v>
      </c>
      <c r="T113" s="27">
        <f t="shared" si="17"/>
        <v>4.9655068179337795E-3</v>
      </c>
    </row>
    <row r="114" spans="1:20">
      <c r="A114" s="1">
        <v>42846</v>
      </c>
      <c r="B114">
        <v>-3.0350731513657109E-3</v>
      </c>
      <c r="C114" s="2">
        <v>1.6092981671881997E-2</v>
      </c>
      <c r="D114" s="2">
        <v>4.1477379927057556E-3</v>
      </c>
      <c r="E114" s="2">
        <f t="shared" si="9"/>
        <v>-1.1945243679176241E-2</v>
      </c>
      <c r="F114" s="2">
        <v>-1.1763357822556861E-2</v>
      </c>
      <c r="G114" s="2">
        <f t="shared" si="10"/>
        <v>-2.7856339494438859E-2</v>
      </c>
      <c r="H114" s="2">
        <v>3.8695641462399562E-3</v>
      </c>
      <c r="I114" s="2">
        <f t="shared" si="11"/>
        <v>-1.2223417525642041E-2</v>
      </c>
      <c r="J114">
        <v>1.3279213998576669E-3</v>
      </c>
      <c r="K114" s="27">
        <f t="shared" si="12"/>
        <v>-1.476506027202433E-2</v>
      </c>
      <c r="L114" s="27">
        <f t="shared" si="13"/>
        <v>-1.9128054823247708E-2</v>
      </c>
      <c r="M114" s="2">
        <v>-8.3905415713195607E-3</v>
      </c>
      <c r="N114" s="27">
        <f t="shared" si="14"/>
        <v>-2.4483523243201556E-2</v>
      </c>
      <c r="O114" s="2">
        <v>-1.1933367045600667E-3</v>
      </c>
      <c r="P114" s="27">
        <f t="shared" si="15"/>
        <v>-1.7286318376442063E-2</v>
      </c>
      <c r="Q114" s="2">
        <v>-2.5205208300350954E-3</v>
      </c>
      <c r="R114" s="27">
        <f t="shared" si="16"/>
        <v>-1.8613502501917092E-2</v>
      </c>
      <c r="S114" s="2">
        <v>-3.9132308358938422E-3</v>
      </c>
      <c r="T114" s="27">
        <f t="shared" si="17"/>
        <v>-2.0006212507775838E-2</v>
      </c>
    </row>
    <row r="115" spans="1:20">
      <c r="A115" s="1">
        <v>42849</v>
      </c>
      <c r="B115">
        <v>1.0840068991465068E-2</v>
      </c>
      <c r="C115" s="2">
        <v>2.3757149142102869E-2</v>
      </c>
      <c r="D115" s="2">
        <v>1.2490166768008142E-2</v>
      </c>
      <c r="E115" s="2">
        <f t="shared" si="9"/>
        <v>-1.1266982374094727E-2</v>
      </c>
      <c r="F115" s="2">
        <v>1.5912859023452228E-2</v>
      </c>
      <c r="G115" s="2">
        <f t="shared" si="10"/>
        <v>-7.8442901186506417E-3</v>
      </c>
      <c r="H115" s="2">
        <v>1.1839242900165128E-2</v>
      </c>
      <c r="I115" s="2">
        <f t="shared" si="11"/>
        <v>-1.1917906241937741E-2</v>
      </c>
      <c r="J115">
        <v>1.5471664614342989E-2</v>
      </c>
      <c r="K115" s="27">
        <f t="shared" si="12"/>
        <v>-8.2854845277598801E-3</v>
      </c>
      <c r="L115" s="27">
        <f t="shared" si="13"/>
        <v>-1.2917080150637802E-2</v>
      </c>
      <c r="M115" s="2">
        <v>1.0000000000000061E-2</v>
      </c>
      <c r="N115" s="27">
        <f t="shared" si="14"/>
        <v>-1.3757149142102808E-2</v>
      </c>
      <c r="O115" s="2">
        <v>9.6294167763083856E-3</v>
      </c>
      <c r="P115" s="27">
        <f t="shared" si="15"/>
        <v>-1.4127732365794484E-2</v>
      </c>
      <c r="Q115" s="2">
        <v>1.644768175625581E-2</v>
      </c>
      <c r="R115" s="27">
        <f t="shared" si="16"/>
        <v>-7.3094673858470592E-3</v>
      </c>
      <c r="S115" s="2">
        <v>9.8827459443762491E-3</v>
      </c>
      <c r="T115" s="27">
        <f t="shared" si="17"/>
        <v>-1.387440319772662E-2</v>
      </c>
    </row>
    <row r="116" spans="1:20">
      <c r="A116" s="1">
        <v>42850</v>
      </c>
      <c r="B116">
        <v>6.0906874447222079E-3</v>
      </c>
      <c r="C116" s="2">
        <v>-6.875805758487329E-3</v>
      </c>
      <c r="D116" s="2">
        <v>1.7387160781281618E-2</v>
      </c>
      <c r="E116" s="2">
        <f t="shared" si="9"/>
        <v>2.4262966539768949E-2</v>
      </c>
      <c r="F116" s="2">
        <v>1.5786886835134111E-2</v>
      </c>
      <c r="G116" s="2">
        <f t="shared" si="10"/>
        <v>2.2662692593621442E-2</v>
      </c>
      <c r="H116" s="2">
        <v>3.2651427370576575E-3</v>
      </c>
      <c r="I116" s="2">
        <f t="shared" si="11"/>
        <v>1.0140948495544987E-2</v>
      </c>
      <c r="J116">
        <v>5.3978930402412192E-3</v>
      </c>
      <c r="K116" s="27">
        <f t="shared" si="12"/>
        <v>1.2273698798728548E-2</v>
      </c>
      <c r="L116" s="27">
        <f t="shared" si="13"/>
        <v>1.2966493203209537E-2</v>
      </c>
      <c r="M116" s="2">
        <v>2.7418126428027371E-2</v>
      </c>
      <c r="N116" s="27">
        <f t="shared" si="14"/>
        <v>3.4293932186514699E-2</v>
      </c>
      <c r="O116" s="2">
        <v>6.1960668936739847E-3</v>
      </c>
      <c r="P116" s="27">
        <f t="shared" si="15"/>
        <v>1.3071872652161313E-2</v>
      </c>
      <c r="Q116" s="2">
        <v>8.8591424158349606E-3</v>
      </c>
      <c r="R116" s="27">
        <f t="shared" si="16"/>
        <v>1.5734948174322291E-2</v>
      </c>
      <c r="S116" s="2">
        <v>2.3145216192150097E-4</v>
      </c>
      <c r="T116" s="27">
        <f t="shared" si="17"/>
        <v>7.1072579204088295E-3</v>
      </c>
    </row>
    <row r="117" spans="1:20">
      <c r="A117" s="1">
        <v>42851</v>
      </c>
      <c r="B117">
        <v>-4.8570337896502731E-4</v>
      </c>
      <c r="C117" s="2">
        <v>-6.4906966681090974E-3</v>
      </c>
      <c r="D117" s="2">
        <v>-6.8742616125943429E-3</v>
      </c>
      <c r="E117" s="2">
        <f t="shared" si="9"/>
        <v>-3.8356494448524552E-4</v>
      </c>
      <c r="F117" s="2">
        <v>-1.5177242664059664E-2</v>
      </c>
      <c r="G117" s="2">
        <f t="shared" si="10"/>
        <v>-8.6865459959505655E-3</v>
      </c>
      <c r="H117" s="2">
        <v>1.6274519849186905E-3</v>
      </c>
      <c r="I117" s="2">
        <f t="shared" si="11"/>
        <v>8.1181486530277885E-3</v>
      </c>
      <c r="J117">
        <v>-4.4163663556538012E-3</v>
      </c>
      <c r="K117" s="27">
        <f t="shared" si="12"/>
        <v>2.0743303124552961E-3</v>
      </c>
      <c r="L117" s="27">
        <f t="shared" si="13"/>
        <v>6.0049932891440699E-3</v>
      </c>
      <c r="M117" s="2">
        <v>-5.9303187546330665E-3</v>
      </c>
      <c r="N117" s="27">
        <f t="shared" si="14"/>
        <v>5.6037791347603085E-4</v>
      </c>
      <c r="O117" s="2">
        <v>-5.8811712354825693E-3</v>
      </c>
      <c r="P117" s="27">
        <f t="shared" si="15"/>
        <v>6.09525432626528E-4</v>
      </c>
      <c r="Q117" s="2">
        <v>-6.810068622758441E-3</v>
      </c>
      <c r="R117" s="27">
        <f t="shared" si="16"/>
        <v>-3.1937195464934367E-4</v>
      </c>
      <c r="S117" s="2">
        <v>1.8399583627507039E-3</v>
      </c>
      <c r="T117" s="27">
        <f t="shared" si="17"/>
        <v>8.3306550308598019E-3</v>
      </c>
    </row>
    <row r="118" spans="1:20">
      <c r="A118" s="1">
        <v>42852</v>
      </c>
      <c r="B118">
        <v>5.5292007250118717E-4</v>
      </c>
      <c r="C118" s="2">
        <v>-6.0975609756096652E-3</v>
      </c>
      <c r="D118" s="2">
        <v>1.5573956763064646E-2</v>
      </c>
      <c r="E118" s="2">
        <f t="shared" si="9"/>
        <v>2.167151773867431E-2</v>
      </c>
      <c r="F118" s="2">
        <v>2.3569896572563525E-3</v>
      </c>
      <c r="G118" s="2">
        <f t="shared" si="10"/>
        <v>8.4545506328660182E-3</v>
      </c>
      <c r="H118" s="2">
        <v>1.3539022686290005E-2</v>
      </c>
      <c r="I118" s="2">
        <f t="shared" si="11"/>
        <v>1.963658366189967E-2</v>
      </c>
      <c r="J118">
        <v>4.0010350178218274E-3</v>
      </c>
      <c r="K118" s="27">
        <f t="shared" si="12"/>
        <v>1.0098595993431492E-2</v>
      </c>
      <c r="L118" s="27">
        <f t="shared" si="13"/>
        <v>6.6504810481108527E-3</v>
      </c>
      <c r="M118" s="2">
        <v>1.5659955257270625E-2</v>
      </c>
      <c r="N118" s="27">
        <f t="shared" si="14"/>
        <v>2.1757516232880289E-2</v>
      </c>
      <c r="O118" s="2">
        <v>7.6574197027665537E-4</v>
      </c>
      <c r="P118" s="27">
        <f t="shared" si="15"/>
        <v>6.8633029458863206E-3</v>
      </c>
      <c r="Q118" s="2">
        <v>6.3605648590436305E-3</v>
      </c>
      <c r="R118" s="27">
        <f t="shared" si="16"/>
        <v>1.2458125834653295E-2</v>
      </c>
      <c r="S118" s="2">
        <v>9.9968406338246957E-3</v>
      </c>
      <c r="T118" s="27">
        <f t="shared" si="17"/>
        <v>1.6094401609434362E-2</v>
      </c>
    </row>
    <row r="119" spans="1:20">
      <c r="A119" s="1">
        <v>42853</v>
      </c>
      <c r="B119">
        <v>-1.9131473359665974E-3</v>
      </c>
      <c r="C119" s="2">
        <v>1.8843120070113999E-2</v>
      </c>
      <c r="D119" s="2">
        <v>-1.268456357251993E-2</v>
      </c>
      <c r="E119" s="2">
        <f t="shared" si="9"/>
        <v>-3.1527683642633933E-2</v>
      </c>
      <c r="F119" s="2">
        <v>-2.004948910328579E-2</v>
      </c>
      <c r="G119" s="2">
        <f t="shared" si="10"/>
        <v>-3.8892609173399789E-2</v>
      </c>
      <c r="H119" s="2">
        <v>-3.4197035242384384E-2</v>
      </c>
      <c r="I119" s="2">
        <f t="shared" si="11"/>
        <v>-5.304015531249838E-2</v>
      </c>
      <c r="J119">
        <v>6.0642813826555634E-4</v>
      </c>
      <c r="K119" s="27">
        <f t="shared" si="12"/>
        <v>-1.8236691931848441E-2</v>
      </c>
      <c r="L119" s="27">
        <f t="shared" si="13"/>
        <v>-2.0756267406080598E-2</v>
      </c>
      <c r="M119" s="2">
        <v>-2.3494860499265677E-2</v>
      </c>
      <c r="N119" s="27">
        <f t="shared" si="14"/>
        <v>-4.233798056937968E-2</v>
      </c>
      <c r="O119" s="2">
        <v>-9.7386248716649728E-4</v>
      </c>
      <c r="P119" s="27">
        <f t="shared" si="15"/>
        <v>-1.9816982557280496E-2</v>
      </c>
      <c r="Q119" s="2">
        <v>-1.0220107979836364E-2</v>
      </c>
      <c r="R119" s="27">
        <f t="shared" si="16"/>
        <v>-2.9063228049950363E-2</v>
      </c>
      <c r="S119" s="2">
        <v>7.1974400183070749E-3</v>
      </c>
      <c r="T119" s="27">
        <f t="shared" si="17"/>
        <v>-1.1645680051806925E-2</v>
      </c>
    </row>
    <row r="120" spans="1:20">
      <c r="A120" s="1">
        <v>42856</v>
      </c>
      <c r="B120">
        <v>1.7322905313657151E-3</v>
      </c>
      <c r="C120" s="2">
        <v>-1.2473118279570046E-2</v>
      </c>
      <c r="D120" s="2">
        <v>2.2435331466167979E-2</v>
      </c>
      <c r="E120" s="2">
        <f t="shared" si="9"/>
        <v>3.4908449745738021E-2</v>
      </c>
      <c r="F120" s="2">
        <v>1.3891971446900419E-3</v>
      </c>
      <c r="G120" s="2">
        <f t="shared" si="10"/>
        <v>1.3862315424260087E-2</v>
      </c>
      <c r="H120" s="2">
        <v>4.425932011963148E-3</v>
      </c>
      <c r="I120" s="2">
        <f t="shared" si="11"/>
        <v>1.6899050291533192E-2</v>
      </c>
      <c r="J120">
        <v>1.0216450216450276E-2</v>
      </c>
      <c r="K120" s="27">
        <f t="shared" si="12"/>
        <v>2.2689568496020322E-2</v>
      </c>
      <c r="L120" s="27">
        <f t="shared" si="13"/>
        <v>1.420540881093576E-2</v>
      </c>
      <c r="M120" s="2">
        <v>2.4060150375939737E-2</v>
      </c>
      <c r="N120" s="27">
        <f t="shared" si="14"/>
        <v>3.6533268655509779E-2</v>
      </c>
      <c r="O120" s="2">
        <v>2.0396930036833218E-2</v>
      </c>
      <c r="P120" s="27">
        <f t="shared" si="15"/>
        <v>3.2870048316403264E-2</v>
      </c>
      <c r="Q120" s="2">
        <v>2.3097376854443455E-3</v>
      </c>
      <c r="R120" s="27">
        <f t="shared" si="16"/>
        <v>1.4782855965014392E-2</v>
      </c>
      <c r="S120" s="2">
        <v>2.5124585402270052E-2</v>
      </c>
      <c r="T120" s="27">
        <f t="shared" si="17"/>
        <v>3.7597703681840094E-2</v>
      </c>
    </row>
    <row r="121" spans="1:20">
      <c r="A121" s="1">
        <v>42857</v>
      </c>
      <c r="B121">
        <v>1.1890500505600905E-3</v>
      </c>
      <c r="C121" s="2">
        <v>5.6620209059234953E-3</v>
      </c>
      <c r="D121" s="2">
        <v>-2.9632419044628665E-2</v>
      </c>
      <c r="E121" s="2">
        <f t="shared" si="9"/>
        <v>-3.5294439950552162E-2</v>
      </c>
      <c r="F121" s="2">
        <v>-5.0437705475050076E-4</v>
      </c>
      <c r="G121" s="2">
        <f t="shared" si="10"/>
        <v>-6.1663979606739958E-3</v>
      </c>
      <c r="H121" s="2">
        <v>1.8176858934306851E-2</v>
      </c>
      <c r="I121" s="2">
        <f t="shared" si="11"/>
        <v>1.2514838028383355E-2</v>
      </c>
      <c r="J121">
        <v>1.2084298937264247E-2</v>
      </c>
      <c r="K121" s="27">
        <f t="shared" si="12"/>
        <v>6.4222780313407521E-3</v>
      </c>
      <c r="L121" s="27">
        <f t="shared" si="13"/>
        <v>-4.4729708553634048E-3</v>
      </c>
      <c r="M121" s="2">
        <v>-0.24229074889867835</v>
      </c>
      <c r="N121" s="27">
        <f t="shared" si="14"/>
        <v>-0.24795276980460185</v>
      </c>
      <c r="O121" s="2">
        <v>6.3446606721213276E-3</v>
      </c>
      <c r="P121" s="27">
        <f t="shared" si="15"/>
        <v>6.8263976619783225E-4</v>
      </c>
      <c r="Q121" s="2">
        <v>1.8660712674388673E-2</v>
      </c>
      <c r="R121" s="27">
        <f t="shared" si="16"/>
        <v>1.2998691768465177E-2</v>
      </c>
      <c r="S121" s="2">
        <v>-1.3604062592493707E-3</v>
      </c>
      <c r="T121" s="27">
        <f t="shared" si="17"/>
        <v>-7.0224271651728662E-3</v>
      </c>
    </row>
    <row r="122" spans="1:20">
      <c r="A122" s="1">
        <v>42858</v>
      </c>
      <c r="B122">
        <v>-1.271360505177841E-3</v>
      </c>
      <c r="C122" s="2">
        <v>2.0355132091814512E-2</v>
      </c>
      <c r="D122" s="2">
        <v>7.4410096300642397E-3</v>
      </c>
      <c r="E122" s="2">
        <f t="shared" si="9"/>
        <v>-1.2914122461750274E-2</v>
      </c>
      <c r="F122" s="2">
        <v>6.5614370709460084E-3</v>
      </c>
      <c r="G122" s="2">
        <f t="shared" si="10"/>
        <v>-1.3793695020868503E-2</v>
      </c>
      <c r="H122" s="2">
        <v>7.7117852149229567E-3</v>
      </c>
      <c r="I122" s="2">
        <f t="shared" si="11"/>
        <v>-1.2643346876891556E-2</v>
      </c>
      <c r="J122">
        <v>-1.2871505220476137E-2</v>
      </c>
      <c r="K122" s="27">
        <f t="shared" si="12"/>
        <v>-3.3226637312290648E-2</v>
      </c>
      <c r="L122" s="27">
        <f t="shared" si="13"/>
        <v>-2.1626492596992352E-2</v>
      </c>
      <c r="M122" s="2">
        <v>6.7829457364341362E-3</v>
      </c>
      <c r="N122" s="27">
        <f t="shared" si="14"/>
        <v>-1.3572186355380376E-2</v>
      </c>
      <c r="O122" s="2">
        <v>-3.050604864975204E-3</v>
      </c>
      <c r="P122" s="27">
        <f t="shared" si="15"/>
        <v>-2.3405736956789717E-2</v>
      </c>
      <c r="Q122" s="2">
        <v>-2.4395779868797269E-3</v>
      </c>
      <c r="R122" s="27">
        <f t="shared" si="16"/>
        <v>-2.2794710078694238E-2</v>
      </c>
      <c r="S122" s="2">
        <v>-6.2411271965676614E-3</v>
      </c>
      <c r="T122" s="27">
        <f t="shared" si="17"/>
        <v>-2.6596259288382173E-2</v>
      </c>
    </row>
    <row r="123" spans="1:20">
      <c r="A123" s="1">
        <v>42859</v>
      </c>
      <c r="B123">
        <v>5.8210276161929663E-4</v>
      </c>
      <c r="C123" s="2">
        <v>-1.6977928692699506E-3</v>
      </c>
      <c r="D123" s="2">
        <v>-3.8369623674541554E-3</v>
      </c>
      <c r="E123" s="2">
        <f t="shared" si="9"/>
        <v>-2.1391694981842046E-3</v>
      </c>
      <c r="F123" s="2">
        <v>-5.8919147046022332E-3</v>
      </c>
      <c r="G123" s="2">
        <f t="shared" si="10"/>
        <v>-4.1941218353322828E-3</v>
      </c>
      <c r="H123" s="2">
        <v>-3.5155718150444827E-3</v>
      </c>
      <c r="I123" s="2">
        <f t="shared" si="11"/>
        <v>-1.8177789457745322E-3</v>
      </c>
      <c r="J123">
        <v>-6.0907523376511653E-3</v>
      </c>
      <c r="K123" s="27">
        <f t="shared" si="12"/>
        <v>-4.392959468381215E-3</v>
      </c>
      <c r="L123" s="27">
        <f t="shared" si="13"/>
        <v>2.2798956308892472E-3</v>
      </c>
      <c r="M123" s="2">
        <v>-2.791145332050057E-2</v>
      </c>
      <c r="N123" s="27">
        <f t="shared" si="14"/>
        <v>-2.6213660451230619E-2</v>
      </c>
      <c r="O123" s="2">
        <v>-3.6040160742363417E-3</v>
      </c>
      <c r="P123" s="27">
        <f t="shared" si="15"/>
        <v>-1.9062232049663912E-3</v>
      </c>
      <c r="Q123" s="2">
        <v>-6.6696550816223513E-3</v>
      </c>
      <c r="R123" s="27">
        <f t="shared" si="16"/>
        <v>-4.9718622123524009E-3</v>
      </c>
      <c r="S123" s="2">
        <v>-3.7193287059280444E-3</v>
      </c>
      <c r="T123" s="27">
        <f t="shared" si="17"/>
        <v>-2.021535836658094E-3</v>
      </c>
    </row>
    <row r="124" spans="1:20">
      <c r="A124" s="1">
        <v>42860</v>
      </c>
      <c r="B124">
        <v>4.0886951849016303E-3</v>
      </c>
      <c r="C124" s="2">
        <v>1.0204081632653071E-2</v>
      </c>
      <c r="D124" s="2">
        <v>9.6353592038614467E-5</v>
      </c>
      <c r="E124" s="2">
        <f t="shared" si="9"/>
        <v>-1.0107728040614456E-2</v>
      </c>
      <c r="F124" s="2">
        <v>4.1613869871813822E-3</v>
      </c>
      <c r="G124" s="2">
        <f t="shared" si="10"/>
        <v>-6.0426946454716886E-3</v>
      </c>
      <c r="H124" s="2">
        <v>-8.140274100999304E-4</v>
      </c>
      <c r="I124" s="2">
        <f t="shared" si="11"/>
        <v>-1.1018109042753001E-2</v>
      </c>
      <c r="J124">
        <v>1.5535991580045544E-3</v>
      </c>
      <c r="K124" s="27">
        <f t="shared" si="12"/>
        <v>-8.6504824746485159E-3</v>
      </c>
      <c r="L124" s="27">
        <f t="shared" si="13"/>
        <v>-6.1153864477514405E-3</v>
      </c>
      <c r="M124" s="2">
        <v>8.910891089108898E-3</v>
      </c>
      <c r="N124" s="27">
        <f t="shared" si="14"/>
        <v>-1.2931905435441728E-3</v>
      </c>
      <c r="O124" s="2">
        <v>1.6583777387890481E-2</v>
      </c>
      <c r="P124" s="27">
        <f t="shared" si="15"/>
        <v>6.3796957552374103E-3</v>
      </c>
      <c r="Q124" s="2">
        <v>1.3652648007630119E-2</v>
      </c>
      <c r="R124" s="27">
        <f t="shared" si="16"/>
        <v>3.4485663749770478E-3</v>
      </c>
      <c r="S124" s="2">
        <v>-3.6052231880030618E-3</v>
      </c>
      <c r="T124" s="27">
        <f t="shared" si="17"/>
        <v>-1.3809304820656133E-2</v>
      </c>
    </row>
    <row r="125" spans="1:20">
      <c r="A125" s="1">
        <v>42863</v>
      </c>
      <c r="B125">
        <v>3.7446077189371702E-5</v>
      </c>
      <c r="C125" s="2">
        <v>1.3047138047138106E-2</v>
      </c>
      <c r="D125" s="2">
        <v>-1.0494998672094347E-2</v>
      </c>
      <c r="E125" s="2">
        <f t="shared" si="9"/>
        <v>-2.3542136719232453E-2</v>
      </c>
      <c r="F125" s="2">
        <v>-2.1348407929824374E-3</v>
      </c>
      <c r="G125" s="2">
        <f t="shared" si="10"/>
        <v>-1.5181978840120543E-2</v>
      </c>
      <c r="H125" s="2">
        <v>-7.6044394499068298E-3</v>
      </c>
      <c r="I125" s="2">
        <f t="shared" si="11"/>
        <v>-2.0651577497044937E-2</v>
      </c>
      <c r="J125">
        <v>7.0665287222808036E-3</v>
      </c>
      <c r="K125" s="27">
        <f t="shared" si="12"/>
        <v>-5.9806093248573021E-3</v>
      </c>
      <c r="L125" s="27">
        <f t="shared" si="13"/>
        <v>-1.3009691969948734E-2</v>
      </c>
      <c r="M125" s="2">
        <v>-1.4720314033366081E-2</v>
      </c>
      <c r="N125" s="27">
        <f t="shared" si="14"/>
        <v>-2.7767452080504185E-2</v>
      </c>
      <c r="O125" s="2">
        <v>2.7188334042287075E-2</v>
      </c>
      <c r="P125" s="27">
        <f t="shared" si="15"/>
        <v>1.4141195995148969E-2</v>
      </c>
      <c r="Q125" s="2">
        <v>-6.0498567936605168E-3</v>
      </c>
      <c r="R125" s="27">
        <f t="shared" si="16"/>
        <v>-1.9096994840798624E-2</v>
      </c>
      <c r="S125" s="2">
        <v>1.5939574605202803E-2</v>
      </c>
      <c r="T125" s="27">
        <f t="shared" si="17"/>
        <v>2.8924365580646968E-3</v>
      </c>
    </row>
    <row r="126" spans="1:20">
      <c r="A126" s="1">
        <v>42864</v>
      </c>
      <c r="B126">
        <v>-1.0252486558836506E-3</v>
      </c>
      <c r="C126" s="2">
        <v>2.9081844619859233E-3</v>
      </c>
      <c r="D126" s="2">
        <v>1.6543084007181678E-3</v>
      </c>
      <c r="E126" s="2">
        <f t="shared" si="9"/>
        <v>-1.2538760612677555E-3</v>
      </c>
      <c r="F126" s="2">
        <v>-1.2589775580745702E-4</v>
      </c>
      <c r="G126" s="2">
        <f t="shared" si="10"/>
        <v>-3.0340822177933801E-3</v>
      </c>
      <c r="H126" s="2">
        <v>-4.6525657217482844E-3</v>
      </c>
      <c r="I126" s="2">
        <f t="shared" si="11"/>
        <v>-7.5607501837342082E-3</v>
      </c>
      <c r="J126">
        <v>2.6869749898427633E-2</v>
      </c>
      <c r="K126" s="27">
        <f t="shared" si="12"/>
        <v>2.396156543644171E-2</v>
      </c>
      <c r="L126" s="27">
        <f t="shared" si="13"/>
        <v>-3.9334331178695735E-3</v>
      </c>
      <c r="M126" s="2">
        <v>1.3944223107569778E-2</v>
      </c>
      <c r="N126" s="27">
        <f t="shared" si="14"/>
        <v>1.1036038645583855E-2</v>
      </c>
      <c r="O126" s="2">
        <v>6.4049249731249515E-3</v>
      </c>
      <c r="P126" s="27">
        <f t="shared" si="15"/>
        <v>3.4967405111390282E-3</v>
      </c>
      <c r="Q126" s="2">
        <v>1.5016853734884346E-2</v>
      </c>
      <c r="R126" s="27">
        <f t="shared" si="16"/>
        <v>1.2108669272898423E-2</v>
      </c>
      <c r="S126" s="2">
        <v>3.9830029162375427E-3</v>
      </c>
      <c r="T126" s="27">
        <f t="shared" si="17"/>
        <v>1.0748184542516193E-3</v>
      </c>
    </row>
    <row r="127" spans="1:20">
      <c r="A127" s="1">
        <v>42865</v>
      </c>
      <c r="B127">
        <v>1.1306013918641129E-3</v>
      </c>
      <c r="C127" s="2">
        <v>-5.7995028997515465E-3</v>
      </c>
      <c r="D127" s="2">
        <v>0.17825907489211076</v>
      </c>
      <c r="E127" s="2">
        <f t="shared" si="9"/>
        <v>0.1840585777918623</v>
      </c>
      <c r="F127" s="2">
        <v>1.3089955752964117E-2</v>
      </c>
      <c r="G127" s="2">
        <f t="shared" si="10"/>
        <v>1.8889458652715664E-2</v>
      </c>
      <c r="H127" s="2">
        <v>-9.8982785678818335E-3</v>
      </c>
      <c r="I127" s="2">
        <f t="shared" si="11"/>
        <v>-4.098775668130287E-3</v>
      </c>
      <c r="J127">
        <v>-1.6664166666669663E-4</v>
      </c>
      <c r="K127" s="27">
        <f t="shared" si="12"/>
        <v>5.6328612330848495E-3</v>
      </c>
      <c r="L127" s="27">
        <f t="shared" si="13"/>
        <v>6.9301042916156599E-3</v>
      </c>
      <c r="M127" s="2">
        <v>5.9921414538310361E-2</v>
      </c>
      <c r="N127" s="27">
        <f t="shared" si="14"/>
        <v>6.572091743806191E-2</v>
      </c>
      <c r="O127" s="2">
        <v>-4.7406424340389027E-3</v>
      </c>
      <c r="P127" s="27">
        <f t="shared" si="15"/>
        <v>1.0588604657126438E-3</v>
      </c>
      <c r="Q127" s="2">
        <v>1.2562424995617468E-2</v>
      </c>
      <c r="R127" s="27">
        <f t="shared" si="16"/>
        <v>1.8361927895369015E-2</v>
      </c>
      <c r="S127" s="2">
        <v>-4.0616223122611414E-3</v>
      </c>
      <c r="T127" s="27">
        <f t="shared" si="17"/>
        <v>1.7378805874904051E-3</v>
      </c>
    </row>
    <row r="128" spans="1:20">
      <c r="A128" s="1">
        <v>42866</v>
      </c>
      <c r="B128">
        <v>-2.1628093718817775E-3</v>
      </c>
      <c r="C128" s="2">
        <v>-2.7083333333333313E-2</v>
      </c>
      <c r="D128" s="2">
        <v>4.2954931638183529E-2</v>
      </c>
      <c r="E128" s="2">
        <f t="shared" si="9"/>
        <v>7.0038264971516842E-2</v>
      </c>
      <c r="F128" s="2">
        <v>-1.1181148595794969E-3</v>
      </c>
      <c r="G128" s="2">
        <f t="shared" si="10"/>
        <v>2.5965218473753816E-2</v>
      </c>
      <c r="H128" s="2">
        <v>-8.8864614711923664E-3</v>
      </c>
      <c r="I128" s="2">
        <f t="shared" si="11"/>
        <v>1.8196871862140945E-2</v>
      </c>
      <c r="J128">
        <v>1.5002583388833914E-3</v>
      </c>
      <c r="K128" s="27">
        <f t="shared" si="12"/>
        <v>2.8583591672216704E-2</v>
      </c>
      <c r="L128" s="27">
        <f t="shared" si="13"/>
        <v>2.4920523961451536E-2</v>
      </c>
      <c r="M128" s="2">
        <v>2.5949953660797141E-2</v>
      </c>
      <c r="N128" s="27">
        <f t="shared" si="14"/>
        <v>5.3033286994130457E-2</v>
      </c>
      <c r="O128" s="2">
        <v>8.6484186497515752E-3</v>
      </c>
      <c r="P128" s="27">
        <f t="shared" si="15"/>
        <v>3.573175198308489E-2</v>
      </c>
      <c r="Q128" s="2">
        <v>-1.0375338920204321E-3</v>
      </c>
      <c r="R128" s="27">
        <f t="shared" si="16"/>
        <v>2.604579944131288E-2</v>
      </c>
      <c r="S128" s="2">
        <v>-1.4015669773762519E-3</v>
      </c>
      <c r="T128" s="27">
        <f t="shared" si="17"/>
        <v>2.5681766355957061E-2</v>
      </c>
    </row>
    <row r="129" spans="1:20">
      <c r="A129" s="1">
        <v>42867</v>
      </c>
      <c r="B129">
        <v>-1.4784413421209208E-3</v>
      </c>
      <c r="C129" s="2">
        <v>1.2847965738758517E-3</v>
      </c>
      <c r="D129" s="2">
        <v>1.0988117111780292E-2</v>
      </c>
      <c r="E129" s="2">
        <f t="shared" si="9"/>
        <v>9.7033205379044411E-3</v>
      </c>
      <c r="F129" s="2">
        <v>3.6070265277238799E-3</v>
      </c>
      <c r="G129" s="2">
        <f t="shared" si="10"/>
        <v>2.3222299538480282E-3</v>
      </c>
      <c r="H129" s="2">
        <v>-4.4829273753157232E-3</v>
      </c>
      <c r="I129" s="2">
        <f t="shared" si="11"/>
        <v>-5.7677239491915749E-3</v>
      </c>
      <c r="J129">
        <v>1.4979360353549805E-3</v>
      </c>
      <c r="K129" s="27">
        <f t="shared" si="12"/>
        <v>2.1313946147912878E-4</v>
      </c>
      <c r="L129" s="27">
        <f t="shared" si="13"/>
        <v>-2.7632379159967723E-3</v>
      </c>
      <c r="M129" s="2">
        <v>1.7163504968382971E-2</v>
      </c>
      <c r="N129" s="27">
        <f t="shared" si="14"/>
        <v>1.587870839450712E-2</v>
      </c>
      <c r="O129" s="2">
        <v>1.3965619288086983E-2</v>
      </c>
      <c r="P129" s="27">
        <f t="shared" si="15"/>
        <v>1.2680822714211133E-2</v>
      </c>
      <c r="Q129" s="2">
        <v>2.1074097386371147E-2</v>
      </c>
      <c r="R129" s="27">
        <f t="shared" si="16"/>
        <v>1.9789300812495296E-2</v>
      </c>
      <c r="S129" s="2">
        <v>1.4488910188097025E-2</v>
      </c>
      <c r="T129" s="27">
        <f t="shared" si="17"/>
        <v>1.3204113614221174E-2</v>
      </c>
    </row>
    <row r="130" spans="1:20">
      <c r="A130" s="1">
        <v>42870</v>
      </c>
      <c r="B130">
        <v>4.7765136426024587E-3</v>
      </c>
      <c r="C130" s="2">
        <v>-3.8494439692044039E-3</v>
      </c>
      <c r="D130" s="2">
        <v>5.019930342318784E-2</v>
      </c>
      <c r="E130" s="2">
        <f t="shared" si="9"/>
        <v>5.4048747392392245E-2</v>
      </c>
      <c r="F130" s="2">
        <v>1.0658021089768649E-2</v>
      </c>
      <c r="G130" s="2">
        <f t="shared" si="10"/>
        <v>1.4507465058973053E-2</v>
      </c>
      <c r="H130" s="2">
        <v>2.814432306865768E-3</v>
      </c>
      <c r="I130" s="2">
        <f t="shared" si="11"/>
        <v>6.6638762760701719E-3</v>
      </c>
      <c r="J130">
        <v>8.8084264187610686E-3</v>
      </c>
      <c r="K130" s="27">
        <f t="shared" si="12"/>
        <v>1.2657870387965472E-2</v>
      </c>
      <c r="L130" s="27">
        <f t="shared" si="13"/>
        <v>8.6259576118068622E-3</v>
      </c>
      <c r="M130" s="2">
        <v>1.4209591474245128E-2</v>
      </c>
      <c r="N130" s="27">
        <f t="shared" si="14"/>
        <v>1.8059035443449532E-2</v>
      </c>
      <c r="O130" s="2">
        <v>-2.5626200486896927E-3</v>
      </c>
      <c r="P130" s="27">
        <f t="shared" si="15"/>
        <v>1.2868239205147112E-3</v>
      </c>
      <c r="Q130" s="2">
        <v>1.301062941104842E-2</v>
      </c>
      <c r="R130" s="27">
        <f t="shared" si="16"/>
        <v>1.6860073380252825E-2</v>
      </c>
      <c r="S130" s="2">
        <v>-3.5158944030597061E-3</v>
      </c>
      <c r="T130" s="27">
        <f t="shared" si="17"/>
        <v>3.3354956614469779E-4</v>
      </c>
    </row>
    <row r="131" spans="1:20">
      <c r="A131" s="1">
        <v>42871</v>
      </c>
      <c r="B131">
        <v>-6.8689681361807189E-4</v>
      </c>
      <c r="C131" s="2">
        <v>-4.8518677544010298E-2</v>
      </c>
      <c r="D131" s="2">
        <v>1.8613694394445386E-2</v>
      </c>
      <c r="E131" s="2">
        <f t="shared" ref="E131:E194" si="18">D131-C131</f>
        <v>6.7132371938455684E-2</v>
      </c>
      <c r="F131" s="2">
        <v>8.8289862203990693E-3</v>
      </c>
      <c r="G131" s="2">
        <f t="shared" ref="G131:G194" si="19">F131-C131</f>
        <v>5.7347663764409369E-2</v>
      </c>
      <c r="H131" s="2">
        <v>5.3326042439024229E-3</v>
      </c>
      <c r="I131" s="2">
        <f t="shared" ref="I131:I194" si="20">H131-C131</f>
        <v>5.3851281787912722E-2</v>
      </c>
      <c r="J131">
        <v>2.1581507057965313E-2</v>
      </c>
      <c r="K131" s="27">
        <f t="shared" ref="K131:K194" si="21">J131-C131</f>
        <v>7.0100184601975618E-2</v>
      </c>
      <c r="L131" s="27">
        <f t="shared" ref="L131:L194" si="22">(B131-C131)</f>
        <v>4.7831780730392223E-2</v>
      </c>
      <c r="M131" s="2">
        <v>0.11646234676007006</v>
      </c>
      <c r="N131" s="27">
        <f t="shared" ref="N131:N194" si="23">M131-C131</f>
        <v>0.16498102430408035</v>
      </c>
      <c r="O131" s="2">
        <v>-1.4771500663641015E-3</v>
      </c>
      <c r="P131" s="27">
        <f t="shared" ref="P131:P194" si="24">O131-C131</f>
        <v>4.70415274776462E-2</v>
      </c>
      <c r="Q131" s="2">
        <v>6.9028676725885361E-3</v>
      </c>
      <c r="R131" s="27">
        <f t="shared" ref="R131:R194" si="25">Q131-C131</f>
        <v>5.5421545216598832E-2</v>
      </c>
      <c r="S131" s="2">
        <v>8.4554174402195811E-3</v>
      </c>
      <c r="T131" s="27">
        <f t="shared" ref="T131:T194" si="26">S131-C131</f>
        <v>5.6974094984229881E-2</v>
      </c>
    </row>
    <row r="132" spans="1:20">
      <c r="A132" s="1">
        <v>42872</v>
      </c>
      <c r="B132">
        <v>-1.8178214589219161E-2</v>
      </c>
      <c r="C132" s="2">
        <v>7.6714801444042885E-3</v>
      </c>
      <c r="D132" s="2">
        <v>-6.644239911905922E-2</v>
      </c>
      <c r="E132" s="2">
        <f t="shared" si="18"/>
        <v>-7.4113879263463509E-2</v>
      </c>
      <c r="F132" s="2">
        <v>-4.3636841836766423E-2</v>
      </c>
      <c r="G132" s="2">
        <f t="shared" si="19"/>
        <v>-5.1308321981170711E-2</v>
      </c>
      <c r="H132" s="2">
        <v>-2.1775421925095063E-2</v>
      </c>
      <c r="I132" s="2">
        <f t="shared" si="20"/>
        <v>-2.9446902069499351E-2</v>
      </c>
      <c r="J132">
        <v>-2.6608579905061658E-2</v>
      </c>
      <c r="K132" s="27">
        <f t="shared" si="21"/>
        <v>-3.4280060049465946E-2</v>
      </c>
      <c r="L132" s="27">
        <f t="shared" si="22"/>
        <v>-2.584969473362345E-2</v>
      </c>
      <c r="M132" s="2">
        <v>-0.12156862745098045</v>
      </c>
      <c r="N132" s="27">
        <f t="shared" si="23"/>
        <v>-0.12924010759538473</v>
      </c>
      <c r="O132" s="2">
        <v>-3.3575593881771192E-2</v>
      </c>
      <c r="P132" s="27">
        <f t="shared" si="24"/>
        <v>-4.124707402617548E-2</v>
      </c>
      <c r="Q132" s="2">
        <v>-3.9471429244584758E-2</v>
      </c>
      <c r="R132" s="27">
        <f t="shared" si="25"/>
        <v>-4.7142909388989046E-2</v>
      </c>
      <c r="S132" s="2">
        <v>-2.2058439704773967E-2</v>
      </c>
      <c r="T132" s="27">
        <f t="shared" si="26"/>
        <v>-2.9729919849178256E-2</v>
      </c>
    </row>
    <row r="133" spans="1:20">
      <c r="A133" s="1">
        <v>42873</v>
      </c>
      <c r="B133">
        <v>3.686818535649625E-3</v>
      </c>
      <c r="C133" s="2">
        <v>5.3739364084191719E-3</v>
      </c>
      <c r="D133" s="2">
        <v>4.1888549551873669E-2</v>
      </c>
      <c r="E133" s="2">
        <f t="shared" si="18"/>
        <v>3.65146131434545E-2</v>
      </c>
      <c r="F133" s="2">
        <v>6.9904097020422615E-3</v>
      </c>
      <c r="G133" s="2">
        <f t="shared" si="19"/>
        <v>1.6164732936230896E-3</v>
      </c>
      <c r="H133" s="2">
        <v>5.1369478688513904E-3</v>
      </c>
      <c r="I133" s="2">
        <f t="shared" si="20"/>
        <v>-2.3698853956778156E-4</v>
      </c>
      <c r="J133">
        <v>4.5559641769718617E-3</v>
      </c>
      <c r="K133" s="27">
        <f t="shared" si="21"/>
        <v>-8.1797223144731025E-4</v>
      </c>
      <c r="L133" s="27">
        <f t="shared" si="22"/>
        <v>-1.6871178727695469E-3</v>
      </c>
      <c r="M133" s="2">
        <v>7.1428571428571496E-3</v>
      </c>
      <c r="N133" s="27">
        <f t="shared" si="23"/>
        <v>1.7689207344379777E-3</v>
      </c>
      <c r="O133" s="2">
        <v>1.52411725934927E-2</v>
      </c>
      <c r="P133" s="27">
        <f t="shared" si="24"/>
        <v>9.8672361850735274E-3</v>
      </c>
      <c r="Q133" s="2">
        <v>2.8030108695078028E-2</v>
      </c>
      <c r="R133" s="27">
        <f t="shared" si="25"/>
        <v>2.2656172286658855E-2</v>
      </c>
      <c r="S133" s="2">
        <v>1.453277007353441E-2</v>
      </c>
      <c r="T133" s="27">
        <f t="shared" si="26"/>
        <v>9.1588336651152388E-3</v>
      </c>
    </row>
    <row r="134" spans="1:20">
      <c r="A134" s="1">
        <v>42874</v>
      </c>
      <c r="B134">
        <v>6.7674996179841957E-3</v>
      </c>
      <c r="C134" s="2">
        <v>4.0089086859687734E-3</v>
      </c>
      <c r="D134" s="2">
        <v>2.3094796084843321E-2</v>
      </c>
      <c r="E134" s="2">
        <f t="shared" si="18"/>
        <v>1.9085887398874547E-2</v>
      </c>
      <c r="F134" s="2">
        <v>1.3504989295166032E-2</v>
      </c>
      <c r="G134" s="2">
        <f t="shared" si="19"/>
        <v>9.4960806091972591E-3</v>
      </c>
      <c r="H134" s="2">
        <v>5.1107808245119306E-3</v>
      </c>
      <c r="I134" s="2">
        <f t="shared" si="20"/>
        <v>1.1018721385431572E-3</v>
      </c>
      <c r="J134">
        <v>1.6079855267086322E-2</v>
      </c>
      <c r="K134" s="27">
        <f t="shared" si="21"/>
        <v>1.2070946581117549E-2</v>
      </c>
      <c r="L134" s="27">
        <f t="shared" si="22"/>
        <v>2.7585909320154223E-3</v>
      </c>
      <c r="M134" s="2">
        <v>1.1524822695035531E-2</v>
      </c>
      <c r="N134" s="27">
        <f t="shared" si="23"/>
        <v>7.515914009066758E-3</v>
      </c>
      <c r="O134" s="2">
        <v>3.4090571031860717E-3</v>
      </c>
      <c r="P134" s="27">
        <f t="shared" si="24"/>
        <v>-5.9985158278270164E-4</v>
      </c>
      <c r="Q134" s="2">
        <v>-1.4979379779345232E-2</v>
      </c>
      <c r="R134" s="27">
        <f t="shared" si="25"/>
        <v>-1.8988288465314005E-2</v>
      </c>
      <c r="S134" s="2">
        <v>1.4085040157799972E-3</v>
      </c>
      <c r="T134" s="27">
        <f t="shared" si="26"/>
        <v>-2.6004046701887762E-3</v>
      </c>
    </row>
    <row r="135" spans="1:20">
      <c r="A135" s="1">
        <v>42877</v>
      </c>
      <c r="B135">
        <v>5.1601315443826519E-3</v>
      </c>
      <c r="C135" s="2">
        <v>1.3753327417923752E-2</v>
      </c>
      <c r="D135" s="2">
        <v>2.1323506689571833E-2</v>
      </c>
      <c r="E135" s="2">
        <f t="shared" si="18"/>
        <v>7.5701792716480806E-3</v>
      </c>
      <c r="F135" s="2">
        <v>8.7168705957927782E-4</v>
      </c>
      <c r="G135" s="2">
        <f t="shared" si="19"/>
        <v>-1.2881640358344474E-2</v>
      </c>
      <c r="H135" s="2">
        <v>1.0451929321690088E-2</v>
      </c>
      <c r="I135" s="2">
        <f t="shared" si="20"/>
        <v>-3.3013980962336639E-3</v>
      </c>
      <c r="J135">
        <v>1.2416807235701969E-2</v>
      </c>
      <c r="K135" s="27">
        <f t="shared" si="21"/>
        <v>-1.3365201822217836E-3</v>
      </c>
      <c r="L135" s="27">
        <f t="shared" si="22"/>
        <v>-8.5931958735411002E-3</v>
      </c>
      <c r="M135" s="2">
        <v>-3.2427695004382209E-2</v>
      </c>
      <c r="N135" s="27">
        <f t="shared" si="23"/>
        <v>-4.6181022422305963E-2</v>
      </c>
      <c r="O135" s="2">
        <v>6.0759894060880308E-3</v>
      </c>
      <c r="P135" s="27">
        <f t="shared" si="24"/>
        <v>-7.6773380118357213E-3</v>
      </c>
      <c r="Q135" s="2">
        <v>1.8282811956021817E-2</v>
      </c>
      <c r="R135" s="27">
        <f t="shared" si="25"/>
        <v>4.5294845380980647E-3</v>
      </c>
      <c r="S135" s="2">
        <v>1.1283084363390525E-2</v>
      </c>
      <c r="T135" s="27">
        <f t="shared" si="26"/>
        <v>-2.4702430545332273E-3</v>
      </c>
    </row>
    <row r="136" spans="1:20">
      <c r="A136" s="1">
        <v>42878</v>
      </c>
      <c r="B136">
        <v>1.8378718487074769E-3</v>
      </c>
      <c r="C136" s="2">
        <v>-8.3150984682713903E-3</v>
      </c>
      <c r="D136" s="2">
        <v>-1.346298018220007E-2</v>
      </c>
      <c r="E136" s="2">
        <f t="shared" si="18"/>
        <v>-5.14788171392868E-3</v>
      </c>
      <c r="F136" s="2">
        <v>-8.4609012341071189E-3</v>
      </c>
      <c r="G136" s="2">
        <f t="shared" si="19"/>
        <v>-1.458027658357286E-4</v>
      </c>
      <c r="H136" s="2">
        <v>2.5160420274955029E-3</v>
      </c>
      <c r="I136" s="2">
        <f t="shared" si="20"/>
        <v>1.0831140495766892E-2</v>
      </c>
      <c r="J136">
        <v>-1.4589178356713372E-2</v>
      </c>
      <c r="K136" s="27">
        <f t="shared" si="21"/>
        <v>-6.2740798884419816E-3</v>
      </c>
      <c r="L136" s="27">
        <f t="shared" si="22"/>
        <v>1.0152970316978868E-2</v>
      </c>
      <c r="M136" s="2">
        <v>-1.3586956521739003E-2</v>
      </c>
      <c r="N136" s="27">
        <f t="shared" si="23"/>
        <v>-5.2718580534676131E-3</v>
      </c>
      <c r="O136" s="2">
        <v>-1.2337752370053822E-3</v>
      </c>
      <c r="P136" s="27">
        <f t="shared" si="24"/>
        <v>7.0813232312660086E-3</v>
      </c>
      <c r="Q136" s="2">
        <v>-7.7188288505781822E-3</v>
      </c>
      <c r="R136" s="27">
        <f t="shared" si="25"/>
        <v>5.9626961769320818E-4</v>
      </c>
      <c r="S136" s="2">
        <v>8.9628299549468732E-4</v>
      </c>
      <c r="T136" s="27">
        <f t="shared" si="26"/>
        <v>9.211381463766077E-3</v>
      </c>
    </row>
    <row r="137" spans="1:20">
      <c r="A137" s="1">
        <v>42879</v>
      </c>
      <c r="B137">
        <v>2.4891266726227547E-3</v>
      </c>
      <c r="C137" s="2">
        <v>-4.8543689320388883E-3</v>
      </c>
      <c r="D137" s="2">
        <v>1.1238566476205344E-2</v>
      </c>
      <c r="E137" s="2">
        <f t="shared" si="18"/>
        <v>1.6092935408244233E-2</v>
      </c>
      <c r="F137" s="2">
        <v>4.517522969014416E-3</v>
      </c>
      <c r="G137" s="2">
        <f t="shared" si="19"/>
        <v>9.3718919010533051E-3</v>
      </c>
      <c r="H137" s="2">
        <v>7.2503205977426707E-3</v>
      </c>
      <c r="I137" s="2">
        <f t="shared" si="20"/>
        <v>1.2104689529781559E-2</v>
      </c>
      <c r="J137">
        <v>-9.7618156674541363E-4</v>
      </c>
      <c r="K137" s="27">
        <f t="shared" si="21"/>
        <v>3.8781873652934747E-3</v>
      </c>
      <c r="L137" s="27">
        <f t="shared" si="22"/>
        <v>7.343495604661643E-3</v>
      </c>
      <c r="M137" s="2">
        <v>0</v>
      </c>
      <c r="N137" s="27">
        <f t="shared" si="23"/>
        <v>4.8543689320388883E-3</v>
      </c>
      <c r="O137" s="2">
        <v>-2.9909929104779444E-3</v>
      </c>
      <c r="P137" s="27">
        <f t="shared" si="24"/>
        <v>1.8633760215609439E-3</v>
      </c>
      <c r="Q137" s="2">
        <v>1.2936579636667589E-2</v>
      </c>
      <c r="R137" s="27">
        <f t="shared" si="25"/>
        <v>1.7790948568706479E-2</v>
      </c>
      <c r="S137" s="2">
        <v>9.068075631983875E-3</v>
      </c>
      <c r="T137" s="27">
        <f t="shared" si="26"/>
        <v>1.3922444564022763E-2</v>
      </c>
    </row>
    <row r="138" spans="1:20">
      <c r="A138" s="1">
        <v>42880</v>
      </c>
      <c r="B138">
        <v>4.4419480513928295E-3</v>
      </c>
      <c r="C138" s="2">
        <v>-2.2172949002216822E-3</v>
      </c>
      <c r="D138" s="2">
        <v>-2.2372134775104327E-3</v>
      </c>
      <c r="E138" s="2">
        <f t="shared" si="18"/>
        <v>-1.9918577288750502E-5</v>
      </c>
      <c r="F138" s="2">
        <v>9.2442646115486662E-3</v>
      </c>
      <c r="G138" s="2">
        <f t="shared" si="19"/>
        <v>1.1461559511770348E-2</v>
      </c>
      <c r="H138" s="2">
        <v>3.8760466428638999E-3</v>
      </c>
      <c r="I138" s="2">
        <f t="shared" si="20"/>
        <v>6.0933415430855821E-3</v>
      </c>
      <c r="J138">
        <v>6.6769726679745565E-3</v>
      </c>
      <c r="K138" s="27">
        <f t="shared" si="21"/>
        <v>8.8942675681962392E-3</v>
      </c>
      <c r="L138" s="27">
        <f t="shared" si="22"/>
        <v>6.6592429516145121E-3</v>
      </c>
      <c r="M138" s="2">
        <v>8.2644628099173417E-3</v>
      </c>
      <c r="N138" s="27">
        <f t="shared" si="23"/>
        <v>1.0481757710139024E-2</v>
      </c>
      <c r="O138" s="2">
        <v>3.4563466224600968E-3</v>
      </c>
      <c r="P138" s="27">
        <f t="shared" si="24"/>
        <v>5.673641522681779E-3</v>
      </c>
      <c r="Q138" s="2">
        <v>5.2586705618117256E-3</v>
      </c>
      <c r="R138" s="27">
        <f t="shared" si="25"/>
        <v>7.4759654620334074E-3</v>
      </c>
      <c r="S138" s="2">
        <v>1.3291201427029987E-2</v>
      </c>
      <c r="T138" s="27">
        <f t="shared" si="26"/>
        <v>1.5508496327251669E-2</v>
      </c>
    </row>
    <row r="139" spans="1:20">
      <c r="A139" s="1">
        <v>42881</v>
      </c>
      <c r="B139">
        <v>3.1054999601775528E-4</v>
      </c>
      <c r="C139" s="2">
        <v>-1.466666666666663E-2</v>
      </c>
      <c r="D139" s="2">
        <v>2.5893187311257174E-2</v>
      </c>
      <c r="E139" s="2">
        <f t="shared" si="18"/>
        <v>4.0559853977923804E-2</v>
      </c>
      <c r="F139" s="2">
        <v>4.0846263820527905E-3</v>
      </c>
      <c r="G139" s="2">
        <f t="shared" si="19"/>
        <v>1.875129304871942E-2</v>
      </c>
      <c r="H139" s="2">
        <v>0</v>
      </c>
      <c r="I139" s="2">
        <f t="shared" si="20"/>
        <v>1.466666666666663E-2</v>
      </c>
      <c r="J139">
        <v>2.9119227431510567E-3</v>
      </c>
      <c r="K139" s="27">
        <f t="shared" si="21"/>
        <v>1.7578589409817685E-2</v>
      </c>
      <c r="L139" s="27">
        <f t="shared" si="22"/>
        <v>1.4977216662684385E-2</v>
      </c>
      <c r="M139" s="2">
        <v>1.8214936247722745E-3</v>
      </c>
      <c r="N139" s="27">
        <f t="shared" si="23"/>
        <v>1.6488160291438906E-2</v>
      </c>
      <c r="O139" s="2">
        <v>-1.6896445717028646E-3</v>
      </c>
      <c r="P139" s="27">
        <f t="shared" si="24"/>
        <v>1.2977022094963766E-2</v>
      </c>
      <c r="Q139" s="2">
        <v>1.4531681281533722E-3</v>
      </c>
      <c r="R139" s="27">
        <f t="shared" si="25"/>
        <v>1.6119834794820001E-2</v>
      </c>
      <c r="S139" s="2">
        <v>2.4160180272604042E-3</v>
      </c>
      <c r="T139" s="27">
        <f t="shared" si="26"/>
        <v>1.7082684693927035E-2</v>
      </c>
    </row>
    <row r="140" spans="1:20">
      <c r="A140" s="1">
        <v>42885</v>
      </c>
      <c r="B140">
        <v>-1.2046244828196847E-3</v>
      </c>
      <c r="C140" s="2">
        <v>-9.4722598105547624E-3</v>
      </c>
      <c r="D140" s="2">
        <v>2.1362059016594784E-2</v>
      </c>
      <c r="E140" s="2">
        <f t="shared" si="18"/>
        <v>3.0834318827149546E-2</v>
      </c>
      <c r="F140" s="2">
        <v>1.0478303856782155E-2</v>
      </c>
      <c r="G140" s="2">
        <f t="shared" si="19"/>
        <v>1.9950563667336919E-2</v>
      </c>
      <c r="H140" s="2">
        <v>-2.2063119858807259E-3</v>
      </c>
      <c r="I140" s="2">
        <f t="shared" si="20"/>
        <v>7.2659478246740366E-3</v>
      </c>
      <c r="J140">
        <v>-6.451649430625786E-4</v>
      </c>
      <c r="K140" s="27">
        <f t="shared" si="21"/>
        <v>8.8270948674921846E-3</v>
      </c>
      <c r="L140" s="27">
        <f t="shared" si="22"/>
        <v>8.2676353277350775E-3</v>
      </c>
      <c r="M140" s="2">
        <v>1.0909090909090839E-2</v>
      </c>
      <c r="N140" s="27">
        <f t="shared" si="23"/>
        <v>2.03813507196456E-2</v>
      </c>
      <c r="O140" s="2">
        <v>3.9051938901645374E-4</v>
      </c>
      <c r="P140" s="27">
        <f t="shared" si="24"/>
        <v>9.8627791995712158E-3</v>
      </c>
      <c r="Q140" s="2">
        <v>-5.7626467955259773E-3</v>
      </c>
      <c r="R140" s="27">
        <f t="shared" si="25"/>
        <v>3.7096130150287851E-3</v>
      </c>
      <c r="S140" s="2">
        <v>9.2388175421019819E-4</v>
      </c>
      <c r="T140" s="27">
        <f t="shared" si="26"/>
        <v>1.039614156476496E-2</v>
      </c>
    </row>
    <row r="141" spans="1:20">
      <c r="A141" s="1">
        <v>42886</v>
      </c>
      <c r="B141">
        <v>-4.5996868531249669E-4</v>
      </c>
      <c r="C141" s="2">
        <v>9.5628415300546016E-3</v>
      </c>
      <c r="D141" s="2">
        <v>-3.5893521679880437E-3</v>
      </c>
      <c r="E141" s="2">
        <f t="shared" si="18"/>
        <v>-1.3152193698042646E-2</v>
      </c>
      <c r="F141" s="2">
        <v>6.3437101164966437E-3</v>
      </c>
      <c r="G141" s="2">
        <f t="shared" si="19"/>
        <v>-3.2191314135579579E-3</v>
      </c>
      <c r="H141" s="2">
        <v>-1.9346551829036941E-3</v>
      </c>
      <c r="I141" s="2">
        <f t="shared" si="20"/>
        <v>-1.1497496712958296E-2</v>
      </c>
      <c r="J141">
        <v>-1.1702081778643188E-2</v>
      </c>
      <c r="K141" s="27">
        <f t="shared" si="21"/>
        <v>-2.1264923308697788E-2</v>
      </c>
      <c r="L141" s="27">
        <f t="shared" si="22"/>
        <v>-1.0022810215367099E-2</v>
      </c>
      <c r="M141" s="2">
        <v>6.2949640287770043E-3</v>
      </c>
      <c r="N141" s="27">
        <f t="shared" si="23"/>
        <v>-3.2678775012775973E-3</v>
      </c>
      <c r="O141" s="2">
        <v>-5.921711597788917E-3</v>
      </c>
      <c r="P141" s="27">
        <f t="shared" si="24"/>
        <v>-1.5484553127843519E-2</v>
      </c>
      <c r="Q141" s="2">
        <v>-1.4177680011196994E-3</v>
      </c>
      <c r="R141" s="27">
        <f t="shared" si="25"/>
        <v>-1.0980609531174301E-2</v>
      </c>
      <c r="S141" s="2">
        <v>-2.0869037573564291E-3</v>
      </c>
      <c r="T141" s="27">
        <f t="shared" si="26"/>
        <v>-1.164974528741103E-2</v>
      </c>
    </row>
    <row r="142" spans="1:20">
      <c r="A142" s="1">
        <v>42887</v>
      </c>
      <c r="B142">
        <v>7.5711127079423849E-3</v>
      </c>
      <c r="C142" s="2">
        <v>-2.6161479476770534E-2</v>
      </c>
      <c r="D142" s="2">
        <v>6.930238918446411E-5</v>
      </c>
      <c r="E142" s="2">
        <f t="shared" si="18"/>
        <v>2.6230781865954997E-2</v>
      </c>
      <c r="F142" s="2">
        <v>-1.2122631291385138E-2</v>
      </c>
      <c r="G142" s="2">
        <f t="shared" si="19"/>
        <v>1.4038848185385396E-2</v>
      </c>
      <c r="H142" s="2">
        <v>2.7676268656329044E-4</v>
      </c>
      <c r="I142" s="2">
        <f t="shared" si="20"/>
        <v>2.6438242163333826E-2</v>
      </c>
      <c r="J142">
        <v>1.2330573349098265E-2</v>
      </c>
      <c r="K142" s="27">
        <f t="shared" si="21"/>
        <v>3.8492052825868803E-2</v>
      </c>
      <c r="L142" s="27">
        <f t="shared" si="22"/>
        <v>3.3732592184712917E-2</v>
      </c>
      <c r="M142" s="2">
        <v>-2.3235031277926702E-2</v>
      </c>
      <c r="N142" s="27">
        <f t="shared" si="23"/>
        <v>2.9264481988438319E-3</v>
      </c>
      <c r="O142" s="2">
        <v>2.749387313130295E-3</v>
      </c>
      <c r="P142" s="27">
        <f t="shared" si="24"/>
        <v>2.8910866789900829E-2</v>
      </c>
      <c r="Q142" s="2">
        <v>-2.0419178896644564E-2</v>
      </c>
      <c r="R142" s="27">
        <f t="shared" si="25"/>
        <v>5.7423005801259704E-3</v>
      </c>
      <c r="S142" s="2">
        <v>1.337211202957968E-3</v>
      </c>
      <c r="T142" s="27">
        <f t="shared" si="26"/>
        <v>2.7498690679728502E-2</v>
      </c>
    </row>
    <row r="143" spans="1:20">
      <c r="A143" s="1">
        <v>42888</v>
      </c>
      <c r="B143">
        <v>3.7077309948083397E-3</v>
      </c>
      <c r="C143" s="2">
        <v>1.0653080129689733E-2</v>
      </c>
      <c r="D143" s="2">
        <v>-4.9875958706457812E-3</v>
      </c>
      <c r="E143" s="2">
        <f t="shared" si="18"/>
        <v>-1.5640676000335516E-2</v>
      </c>
      <c r="F143" s="2">
        <v>1.7180027044063947E-3</v>
      </c>
      <c r="G143" s="2">
        <f t="shared" si="19"/>
        <v>-8.9350774252833394E-3</v>
      </c>
      <c r="H143" s="2">
        <v>5.5372295316812904E-3</v>
      </c>
      <c r="I143" s="2">
        <f t="shared" si="20"/>
        <v>-5.115850598008443E-3</v>
      </c>
      <c r="J143">
        <v>1.2906025547261767E-3</v>
      </c>
      <c r="K143" s="27">
        <f t="shared" si="21"/>
        <v>-9.3624775749635569E-3</v>
      </c>
      <c r="L143" s="27">
        <f t="shared" si="22"/>
        <v>-6.9453491348813942E-3</v>
      </c>
      <c r="M143" s="2">
        <v>-2.7447392497712132E-3</v>
      </c>
      <c r="N143" s="27">
        <f t="shared" si="23"/>
        <v>-1.3397819379460947E-2</v>
      </c>
      <c r="O143" s="2">
        <v>1.4819165344634818E-2</v>
      </c>
      <c r="P143" s="27">
        <f t="shared" si="24"/>
        <v>4.1660852149450842E-3</v>
      </c>
      <c r="Q143" s="2">
        <v>8.499935590501162E-2</v>
      </c>
      <c r="R143" s="27">
        <f t="shared" si="25"/>
        <v>7.4346275775321879E-2</v>
      </c>
      <c r="S143" s="2">
        <v>1.0823804277437912E-2</v>
      </c>
      <c r="T143" s="27">
        <f t="shared" si="26"/>
        <v>1.7072414774817884E-4</v>
      </c>
    </row>
    <row r="144" spans="1:20">
      <c r="A144" s="1">
        <v>42891</v>
      </c>
      <c r="B144">
        <v>-1.217664895717995E-3</v>
      </c>
      <c r="C144" s="2">
        <v>-1.6040329972502355E-2</v>
      </c>
      <c r="D144" s="2">
        <v>3.0423240394270287E-2</v>
      </c>
      <c r="E144" s="2">
        <f t="shared" si="18"/>
        <v>4.6463570366772643E-2</v>
      </c>
      <c r="F144" s="2">
        <v>3.1850229213736597E-3</v>
      </c>
      <c r="G144" s="2">
        <f t="shared" si="19"/>
        <v>1.9225352893876016E-2</v>
      </c>
      <c r="H144" s="2">
        <v>5.5065979418091764E-4</v>
      </c>
      <c r="I144" s="2">
        <f t="shared" si="20"/>
        <v>1.6590989766683273E-2</v>
      </c>
      <c r="J144">
        <v>9.9895756865280034E-3</v>
      </c>
      <c r="K144" s="27">
        <f t="shared" si="21"/>
        <v>2.6029905659030357E-2</v>
      </c>
      <c r="L144" s="27">
        <f t="shared" si="22"/>
        <v>1.4822665076784361E-2</v>
      </c>
      <c r="M144" s="2">
        <v>3.11926605504587E-2</v>
      </c>
      <c r="N144" s="27">
        <f t="shared" si="23"/>
        <v>4.7232990522961052E-2</v>
      </c>
      <c r="O144" s="2">
        <v>-9.7780963062077432E-3</v>
      </c>
      <c r="P144" s="27">
        <f t="shared" si="24"/>
        <v>6.2622336662946122E-3</v>
      </c>
      <c r="Q144" s="2">
        <v>-9.114813837471045E-3</v>
      </c>
      <c r="R144" s="27">
        <f t="shared" si="25"/>
        <v>6.9255161350313104E-3</v>
      </c>
      <c r="S144" s="2">
        <v>4.5792288812140161E-3</v>
      </c>
      <c r="T144" s="27">
        <f t="shared" si="26"/>
        <v>2.0619558853716372E-2</v>
      </c>
    </row>
    <row r="145" spans="1:20">
      <c r="A145" s="1">
        <v>42892</v>
      </c>
      <c r="B145">
        <v>-2.7790401574869653E-3</v>
      </c>
      <c r="C145" s="2">
        <v>1.4438751746623261E-2</v>
      </c>
      <c r="D145" s="2">
        <v>-4.5266699085341339E-3</v>
      </c>
      <c r="E145" s="2">
        <f t="shared" si="18"/>
        <v>-1.8965421655157397E-2</v>
      </c>
      <c r="F145" s="2">
        <v>4.0298584916525588E-3</v>
      </c>
      <c r="G145" s="2">
        <f t="shared" si="19"/>
        <v>-1.0408893254970703E-2</v>
      </c>
      <c r="H145" s="2">
        <v>-5.7787457159732521E-3</v>
      </c>
      <c r="I145" s="2">
        <f t="shared" si="20"/>
        <v>-2.0217497462596514E-2</v>
      </c>
      <c r="J145">
        <v>-5.9822922713019316E-3</v>
      </c>
      <c r="K145" s="27">
        <f t="shared" si="21"/>
        <v>-2.0421044017925192E-2</v>
      </c>
      <c r="L145" s="27">
        <f t="shared" si="22"/>
        <v>-1.7217791904110227E-2</v>
      </c>
      <c r="M145" s="2">
        <v>7.0284697508896724E-2</v>
      </c>
      <c r="N145" s="27">
        <f t="shared" si="23"/>
        <v>5.5845945762273461E-2</v>
      </c>
      <c r="O145" s="2">
        <v>3.3782794895117945E-3</v>
      </c>
      <c r="P145" s="27">
        <f t="shared" si="24"/>
        <v>-1.1060472257111466E-2</v>
      </c>
      <c r="Q145" s="2">
        <v>6.5421370234362147E-3</v>
      </c>
      <c r="R145" s="27">
        <f t="shared" si="25"/>
        <v>-7.8966147231870464E-3</v>
      </c>
      <c r="S145" s="2">
        <v>-8.2465113387625907E-3</v>
      </c>
      <c r="T145" s="27">
        <f t="shared" si="26"/>
        <v>-2.2685263085385852E-2</v>
      </c>
    </row>
    <row r="146" spans="1:20">
      <c r="A146" s="1">
        <v>42893</v>
      </c>
      <c r="B146">
        <v>1.5682574527445799E-3</v>
      </c>
      <c r="C146" s="2">
        <v>7.3461891643709894E-3</v>
      </c>
      <c r="D146" s="2">
        <v>1.2080852609395972E-2</v>
      </c>
      <c r="E146" s="2">
        <f t="shared" si="18"/>
        <v>4.7346634450249831E-3</v>
      </c>
      <c r="F146" s="2">
        <v>8.148854669704832E-3</v>
      </c>
      <c r="G146" s="2">
        <f t="shared" si="19"/>
        <v>8.0266550533384263E-4</v>
      </c>
      <c r="H146" s="2">
        <v>3.59805524537551E-3</v>
      </c>
      <c r="I146" s="2">
        <f t="shared" si="20"/>
        <v>-3.7481339189954794E-3</v>
      </c>
      <c r="J146">
        <v>8.1848497467939089E-3</v>
      </c>
      <c r="K146" s="27">
        <f t="shared" si="21"/>
        <v>8.3866058242291954E-4</v>
      </c>
      <c r="L146" s="27">
        <f t="shared" si="22"/>
        <v>-5.7779317116264097E-3</v>
      </c>
      <c r="M146" s="2">
        <v>2.9093931837074101E-2</v>
      </c>
      <c r="N146" s="27">
        <f t="shared" si="23"/>
        <v>2.1747742672703112E-2</v>
      </c>
      <c r="O146" s="2">
        <v>5.9566018504804471E-3</v>
      </c>
      <c r="P146" s="27">
        <f t="shared" si="24"/>
        <v>-1.3895873138905423E-3</v>
      </c>
      <c r="Q146" s="2">
        <v>1.6544654577570737E-3</v>
      </c>
      <c r="R146" s="27">
        <f t="shared" si="25"/>
        <v>-5.6917237066139159E-3</v>
      </c>
      <c r="S146" s="2">
        <v>7.0488604187438006E-3</v>
      </c>
      <c r="T146" s="27">
        <f t="shared" si="26"/>
        <v>-2.9732874562718881E-4</v>
      </c>
    </row>
    <row r="147" spans="1:20">
      <c r="A147" s="1">
        <v>42894</v>
      </c>
      <c r="B147">
        <v>2.6720452936979968E-4</v>
      </c>
      <c r="C147" s="2">
        <v>2.278942570647171E-3</v>
      </c>
      <c r="D147" s="2">
        <v>7.2559144792177968E-2</v>
      </c>
      <c r="E147" s="2">
        <f t="shared" si="18"/>
        <v>7.0280202221530794E-2</v>
      </c>
      <c r="F147" s="2">
        <v>1.7493092255520676E-2</v>
      </c>
      <c r="G147" s="2">
        <f t="shared" si="19"/>
        <v>1.5214149684873505E-2</v>
      </c>
      <c r="H147" s="2">
        <v>6.0673369984547325E-3</v>
      </c>
      <c r="I147" s="2">
        <f t="shared" si="20"/>
        <v>3.7883944278075616E-3</v>
      </c>
      <c r="J147">
        <v>0.13291942958388603</v>
      </c>
      <c r="K147" s="27">
        <f t="shared" si="21"/>
        <v>0.13064048701323885</v>
      </c>
      <c r="L147" s="27">
        <f t="shared" si="22"/>
        <v>-2.0117380412773712E-3</v>
      </c>
      <c r="M147" s="2">
        <v>4.2003231017770558E-2</v>
      </c>
      <c r="N147" s="27">
        <f t="shared" si="23"/>
        <v>3.972428844712339E-2</v>
      </c>
      <c r="O147" s="2">
        <v>-2.4458344712180854E-3</v>
      </c>
      <c r="P147" s="27">
        <f t="shared" si="24"/>
        <v>-4.7247770418652564E-3</v>
      </c>
      <c r="Q147" s="2">
        <v>2.6348951606415178E-3</v>
      </c>
      <c r="R147" s="27">
        <f t="shared" si="25"/>
        <v>3.5595258999434687E-4</v>
      </c>
      <c r="S147" s="2">
        <v>1.9801894780943895E-4</v>
      </c>
      <c r="T147" s="27">
        <f t="shared" si="26"/>
        <v>-2.0809236228377321E-3</v>
      </c>
    </row>
    <row r="148" spans="1:20">
      <c r="A148" s="1">
        <v>42895</v>
      </c>
      <c r="B148">
        <v>-8.2998901615606764E-4</v>
      </c>
      <c r="C148" s="2">
        <v>6.3665302410187523E-3</v>
      </c>
      <c r="D148" s="2">
        <v>-6.4649225407197669E-2</v>
      </c>
      <c r="E148" s="2">
        <f t="shared" si="18"/>
        <v>-7.1015755648216425E-2</v>
      </c>
      <c r="F148" s="2">
        <v>-4.0787268848202572E-2</v>
      </c>
      <c r="G148" s="2">
        <f t="shared" si="19"/>
        <v>-4.7153799089221321E-2</v>
      </c>
      <c r="H148" s="2">
        <v>-2.1107501369430893E-2</v>
      </c>
      <c r="I148" s="2">
        <f t="shared" si="20"/>
        <v>-2.7474031610449645E-2</v>
      </c>
      <c r="J148">
        <v>-2.0373711405752889E-2</v>
      </c>
      <c r="K148" s="27">
        <f t="shared" si="21"/>
        <v>-2.6740241646771641E-2</v>
      </c>
      <c r="L148" s="27">
        <f t="shared" si="22"/>
        <v>-7.1965192571748198E-3</v>
      </c>
      <c r="M148" s="2">
        <v>-4.8062015503876045E-2</v>
      </c>
      <c r="N148" s="27">
        <f t="shared" si="23"/>
        <v>-5.4428545744894793E-2</v>
      </c>
      <c r="O148" s="2">
        <v>-3.8776659545809687E-2</v>
      </c>
      <c r="P148" s="27">
        <f t="shared" si="24"/>
        <v>-4.5143189786828436E-2</v>
      </c>
      <c r="Q148" s="2">
        <v>-4.5538391959593826E-2</v>
      </c>
      <c r="R148" s="27">
        <f t="shared" si="25"/>
        <v>-5.1904922200612574E-2</v>
      </c>
      <c r="S148" s="2">
        <v>-3.1635128596610336E-2</v>
      </c>
      <c r="T148" s="27">
        <f t="shared" si="26"/>
        <v>-3.8001658837629085E-2</v>
      </c>
    </row>
    <row r="149" spans="1:20">
      <c r="A149" s="1">
        <v>42898</v>
      </c>
      <c r="B149">
        <v>-9.7876319735198578E-4</v>
      </c>
      <c r="C149" s="2">
        <v>-2.7112516945324116E-3</v>
      </c>
      <c r="D149" s="2">
        <v>2.4731646647432166E-3</v>
      </c>
      <c r="E149" s="2">
        <f t="shared" si="18"/>
        <v>5.1844163592756282E-3</v>
      </c>
      <c r="F149" s="2">
        <v>1.8541011857135777E-3</v>
      </c>
      <c r="G149" s="2">
        <f t="shared" si="19"/>
        <v>4.5653528802459889E-3</v>
      </c>
      <c r="H149" s="2">
        <v>5.60037841790806E-4</v>
      </c>
      <c r="I149" s="2">
        <f t="shared" si="20"/>
        <v>3.2712895363232177E-3</v>
      </c>
      <c r="J149">
        <v>-2.5817555567733373E-3</v>
      </c>
      <c r="K149" s="27">
        <f t="shared" si="21"/>
        <v>1.2949613775907432E-4</v>
      </c>
      <c r="L149" s="27">
        <f t="shared" si="22"/>
        <v>1.7324884971804259E-3</v>
      </c>
      <c r="M149" s="2">
        <v>-1.5472312703583022E-2</v>
      </c>
      <c r="N149" s="27">
        <f t="shared" si="23"/>
        <v>-1.276106100905061E-2</v>
      </c>
      <c r="O149" s="2">
        <v>-2.3895914949628796E-2</v>
      </c>
      <c r="P149" s="27">
        <f t="shared" si="24"/>
        <v>-2.1184663255096384E-2</v>
      </c>
      <c r="Q149" s="2">
        <v>-2.7533540491686847E-3</v>
      </c>
      <c r="R149" s="27">
        <f t="shared" si="25"/>
        <v>-4.2102354636273064E-5</v>
      </c>
      <c r="S149" s="2">
        <v>-1.3697115461759713E-2</v>
      </c>
      <c r="T149" s="27">
        <f t="shared" si="26"/>
        <v>-1.0985863767227301E-2</v>
      </c>
    </row>
    <row r="150" spans="1:20">
      <c r="A150" s="1">
        <v>42899</v>
      </c>
      <c r="B150">
        <v>4.5115051443905306E-3</v>
      </c>
      <c r="C150" s="2">
        <v>-3.1264159492523765E-2</v>
      </c>
      <c r="D150" s="2">
        <v>9.5352333479673673E-3</v>
      </c>
      <c r="E150" s="2">
        <f t="shared" si="18"/>
        <v>4.0799392840491132E-2</v>
      </c>
      <c r="F150" s="2">
        <v>-7.4029292803255145E-4</v>
      </c>
      <c r="G150" s="2">
        <f t="shared" si="19"/>
        <v>3.0523866564491214E-2</v>
      </c>
      <c r="H150" s="2">
        <v>4.1982022786537232E-3</v>
      </c>
      <c r="I150" s="2">
        <f t="shared" si="20"/>
        <v>3.5462361771177488E-2</v>
      </c>
      <c r="J150">
        <v>-1.783143488882032E-2</v>
      </c>
      <c r="K150" s="27">
        <f t="shared" si="21"/>
        <v>1.3432724603703445E-2</v>
      </c>
      <c r="L150" s="27">
        <f t="shared" si="22"/>
        <v>3.5775664636914298E-2</v>
      </c>
      <c r="M150" s="2">
        <v>-1.0752688172042928E-2</v>
      </c>
      <c r="N150" s="27">
        <f t="shared" si="23"/>
        <v>2.0511471320480836E-2</v>
      </c>
      <c r="O150" s="2">
        <v>8.0457039188441392E-3</v>
      </c>
      <c r="P150" s="27">
        <f t="shared" si="24"/>
        <v>3.9309863411367905E-2</v>
      </c>
      <c r="Q150" s="2">
        <v>1.1126239728508434E-3</v>
      </c>
      <c r="R150" s="27">
        <f t="shared" si="25"/>
        <v>3.2376783465374606E-2</v>
      </c>
      <c r="S150" s="2">
        <v>1.6457499087326754E-2</v>
      </c>
      <c r="T150" s="27">
        <f t="shared" si="26"/>
        <v>4.7721658579850515E-2</v>
      </c>
    </row>
    <row r="151" spans="1:20">
      <c r="A151" s="1">
        <v>42900</v>
      </c>
      <c r="B151">
        <v>-9.9583088590096507E-4</v>
      </c>
      <c r="C151" s="2">
        <v>1.1225444340505155E-2</v>
      </c>
      <c r="D151" s="2">
        <v>2.1137022022972136E-3</v>
      </c>
      <c r="E151" s="2">
        <f t="shared" si="18"/>
        <v>-9.1117421382079407E-3</v>
      </c>
      <c r="F151" s="2">
        <v>-1.0248072215943285E-2</v>
      </c>
      <c r="G151" s="2">
        <f t="shared" si="19"/>
        <v>-2.1473516556448441E-2</v>
      </c>
      <c r="H151" s="2">
        <v>-9.7547206568825932E-3</v>
      </c>
      <c r="I151" s="2">
        <f t="shared" si="20"/>
        <v>-2.0980164997387748E-2</v>
      </c>
      <c r="J151">
        <v>5.1238650750853518E-4</v>
      </c>
      <c r="K151" s="27">
        <f t="shared" si="21"/>
        <v>-1.0713057832996619E-2</v>
      </c>
      <c r="L151" s="27">
        <f t="shared" si="22"/>
        <v>-1.222127522640612E-2</v>
      </c>
      <c r="M151" s="2">
        <v>-1.5886287625418168E-2</v>
      </c>
      <c r="N151" s="27">
        <f t="shared" si="23"/>
        <v>-2.7111731965923321E-2</v>
      </c>
      <c r="O151" s="2">
        <v>-9.7550433864217728E-3</v>
      </c>
      <c r="P151" s="27">
        <f t="shared" si="24"/>
        <v>-2.0980487726926927E-2</v>
      </c>
      <c r="Q151" s="2">
        <v>-9.8789960300838791E-3</v>
      </c>
      <c r="R151" s="27">
        <f t="shared" si="25"/>
        <v>-2.1104440370589034E-2</v>
      </c>
      <c r="S151" s="2">
        <v>-4.4046198441069634E-3</v>
      </c>
      <c r="T151" s="27">
        <f t="shared" si="26"/>
        <v>-1.5630064184612116E-2</v>
      </c>
    </row>
    <row r="152" spans="1:20">
      <c r="A152" s="1">
        <v>42901</v>
      </c>
      <c r="B152">
        <v>-2.2395981716744925E-3</v>
      </c>
      <c r="C152" s="2">
        <v>-2.3126734505087392E-3</v>
      </c>
      <c r="D152" s="2">
        <v>4.2841136536733281E-3</v>
      </c>
      <c r="E152" s="2">
        <f t="shared" si="18"/>
        <v>6.5967871041820673E-3</v>
      </c>
      <c r="F152" s="2">
        <v>-9.9800781169421247E-4</v>
      </c>
      <c r="G152" s="2">
        <f t="shared" si="19"/>
        <v>1.3146656388145267E-3</v>
      </c>
      <c r="H152" s="2">
        <v>-6.1919678617255672E-3</v>
      </c>
      <c r="I152" s="2">
        <f t="shared" si="20"/>
        <v>-3.8792944112168281E-3</v>
      </c>
      <c r="J152">
        <v>-1.163383349138547E-2</v>
      </c>
      <c r="K152" s="27">
        <f t="shared" si="21"/>
        <v>-9.321160040876731E-3</v>
      </c>
      <c r="L152" s="27">
        <f t="shared" si="22"/>
        <v>7.3075278834246627E-5</v>
      </c>
      <c r="M152" s="2">
        <v>-2.2939677145284585E-2</v>
      </c>
      <c r="N152" s="27">
        <f t="shared" si="23"/>
        <v>-2.0627003694775846E-2</v>
      </c>
      <c r="O152" s="2">
        <v>-5.9935131371309678E-3</v>
      </c>
      <c r="P152" s="27">
        <f t="shared" si="24"/>
        <v>-3.6808396866222287E-3</v>
      </c>
      <c r="Q152" s="2">
        <v>-6.3877201209897845E-3</v>
      </c>
      <c r="R152" s="27">
        <f t="shared" si="25"/>
        <v>-4.0750466704810454E-3</v>
      </c>
      <c r="S152" s="2">
        <v>-1.2596381215290834E-2</v>
      </c>
      <c r="T152" s="27">
        <f t="shared" si="26"/>
        <v>-1.0283707764782095E-2</v>
      </c>
    </row>
    <row r="153" spans="1:20">
      <c r="A153" s="1">
        <v>42902</v>
      </c>
      <c r="B153">
        <v>2.8363920108121762E-4</v>
      </c>
      <c r="C153" s="2">
        <v>1.5299026425591061E-2</v>
      </c>
      <c r="D153" s="2">
        <v>-4.922253521149016E-3</v>
      </c>
      <c r="E153" s="2">
        <f t="shared" si="18"/>
        <v>-2.0221279946740077E-2</v>
      </c>
      <c r="F153" s="2">
        <v>-4.74536775522196E-3</v>
      </c>
      <c r="G153" s="2">
        <f t="shared" si="19"/>
        <v>-2.0044394180813021E-2</v>
      </c>
      <c r="H153" s="2">
        <v>-2.8320825693385508E-3</v>
      </c>
      <c r="I153" s="2">
        <f t="shared" si="20"/>
        <v>-1.8131108994929611E-2</v>
      </c>
      <c r="J153">
        <v>-1.5546860889150615E-3</v>
      </c>
      <c r="K153" s="27">
        <f t="shared" si="21"/>
        <v>-1.6853712514506122E-2</v>
      </c>
      <c r="L153" s="27">
        <f t="shared" si="22"/>
        <v>-1.5015387224509843E-2</v>
      </c>
      <c r="M153" s="2">
        <v>-5.217391304347869E-3</v>
      </c>
      <c r="N153" s="27">
        <f t="shared" si="23"/>
        <v>-2.0516417729938931E-2</v>
      </c>
      <c r="O153" s="2">
        <v>-1.3999416552195644E-2</v>
      </c>
      <c r="P153" s="27">
        <f t="shared" si="24"/>
        <v>-2.9298442977786707E-2</v>
      </c>
      <c r="Q153" s="2">
        <v>-7.311267894411738E-3</v>
      </c>
      <c r="R153" s="27">
        <f t="shared" si="25"/>
        <v>-2.2610294320002798E-2</v>
      </c>
      <c r="S153" s="2">
        <v>2.4414822505421204E-2</v>
      </c>
      <c r="T153" s="27">
        <f t="shared" si="26"/>
        <v>9.1157960798301432E-3</v>
      </c>
    </row>
    <row r="154" spans="1:20">
      <c r="A154" s="1">
        <v>42905</v>
      </c>
      <c r="B154">
        <v>8.3472288260190847E-3</v>
      </c>
      <c r="C154" s="2">
        <v>-1.6894977168949738E-2</v>
      </c>
      <c r="D154" s="2">
        <v>3.7594125970915819E-2</v>
      </c>
      <c r="E154" s="2">
        <f t="shared" si="18"/>
        <v>5.4489103139865561E-2</v>
      </c>
      <c r="F154" s="2">
        <v>2.1581013611887755E-2</v>
      </c>
      <c r="G154" s="2">
        <f t="shared" si="19"/>
        <v>3.8475990780837493E-2</v>
      </c>
      <c r="H154" s="2">
        <v>8.5202629871916121E-3</v>
      </c>
      <c r="I154" s="2">
        <f t="shared" si="20"/>
        <v>2.5415240156141349E-2</v>
      </c>
      <c r="J154">
        <v>3.4106963524392568E-2</v>
      </c>
      <c r="K154" s="27">
        <f t="shared" si="21"/>
        <v>5.100194069334231E-2</v>
      </c>
      <c r="L154" s="27">
        <f t="shared" si="22"/>
        <v>2.5242205994968823E-2</v>
      </c>
      <c r="M154" s="2">
        <v>4.2832167832167853E-2</v>
      </c>
      <c r="N154" s="27">
        <f t="shared" si="23"/>
        <v>5.9727145001117588E-2</v>
      </c>
      <c r="O154" s="2">
        <v>2.8607525407209244E-2</v>
      </c>
      <c r="P154" s="27">
        <f t="shared" si="24"/>
        <v>4.5502502576158982E-2</v>
      </c>
      <c r="Q154" s="2">
        <v>2.0740737674367467E-2</v>
      </c>
      <c r="R154" s="27">
        <f t="shared" si="25"/>
        <v>3.7635714843317208E-2</v>
      </c>
      <c r="S154" s="2">
        <v>7.5527845560323988E-3</v>
      </c>
      <c r="T154" s="27">
        <f t="shared" si="26"/>
        <v>2.4447761724982135E-2</v>
      </c>
    </row>
    <row r="155" spans="1:20">
      <c r="A155" s="1">
        <v>42906</v>
      </c>
      <c r="B155">
        <v>-6.6966375083224797E-3</v>
      </c>
      <c r="C155" s="2">
        <v>9.2893636785869934E-4</v>
      </c>
      <c r="D155" s="2">
        <v>-1.4620792983913334E-3</v>
      </c>
      <c r="E155" s="2">
        <f t="shared" si="18"/>
        <v>-2.3910156662500328E-3</v>
      </c>
      <c r="F155" s="2">
        <v>-2.2721737322249507E-2</v>
      </c>
      <c r="G155" s="2">
        <f t="shared" si="19"/>
        <v>-2.3650673690108207E-2</v>
      </c>
      <c r="H155" s="2">
        <v>-1.8304643014309948E-2</v>
      </c>
      <c r="I155" s="2">
        <f t="shared" si="20"/>
        <v>-1.9233579382168648E-2</v>
      </c>
      <c r="J155">
        <v>-7.8152720454915964E-3</v>
      </c>
      <c r="K155" s="27">
        <f t="shared" si="21"/>
        <v>-8.7442084133502965E-3</v>
      </c>
      <c r="L155" s="27">
        <f t="shared" si="22"/>
        <v>-7.6255738761811789E-3</v>
      </c>
      <c r="M155" s="2">
        <v>5.9513830678960676E-2</v>
      </c>
      <c r="N155" s="27">
        <f t="shared" si="23"/>
        <v>5.8584894311101976E-2</v>
      </c>
      <c r="O155" s="2">
        <v>-9.0885401853379923E-3</v>
      </c>
      <c r="P155" s="27">
        <f t="shared" si="24"/>
        <v>-1.0017476553196692E-2</v>
      </c>
      <c r="Q155" s="2">
        <v>-4.8102692870835182E-3</v>
      </c>
      <c r="R155" s="27">
        <f t="shared" si="25"/>
        <v>-5.7392056549422175E-3</v>
      </c>
      <c r="S155" s="2">
        <v>-2.5924777114183098E-3</v>
      </c>
      <c r="T155" s="27">
        <f t="shared" si="26"/>
        <v>-3.5214140792770091E-3</v>
      </c>
    </row>
    <row r="156" spans="1:20">
      <c r="A156" s="1">
        <v>42907</v>
      </c>
      <c r="B156">
        <v>-5.8264444143213401E-4</v>
      </c>
      <c r="C156" s="2">
        <v>-9.2807424593957305E-4</v>
      </c>
      <c r="D156" s="2">
        <v>1.5150599120508434E-2</v>
      </c>
      <c r="E156" s="2">
        <f t="shared" si="18"/>
        <v>1.6078673366448006E-2</v>
      </c>
      <c r="F156" s="2">
        <v>1.2567663346093603E-3</v>
      </c>
      <c r="G156" s="2">
        <f t="shared" si="19"/>
        <v>2.1848405805489331E-3</v>
      </c>
      <c r="H156" s="2">
        <v>-8.0320851967659052E-3</v>
      </c>
      <c r="I156" s="2">
        <f t="shared" si="20"/>
        <v>-7.1040109508263317E-3</v>
      </c>
      <c r="J156">
        <v>3.5481918070461103E-2</v>
      </c>
      <c r="K156" s="27">
        <f t="shared" si="21"/>
        <v>3.6409992316400679E-2</v>
      </c>
      <c r="L156" s="27">
        <f t="shared" si="22"/>
        <v>3.4542980450743904E-4</v>
      </c>
      <c r="M156" s="2">
        <v>0.10601265822784808</v>
      </c>
      <c r="N156" s="27">
        <f t="shared" si="23"/>
        <v>0.10694073247378766</v>
      </c>
      <c r="O156" s="2">
        <v>5.9306917601163241E-3</v>
      </c>
      <c r="P156" s="27">
        <f t="shared" si="24"/>
        <v>6.8587660060558976E-3</v>
      </c>
      <c r="Q156" s="2">
        <v>2.1375893029410099E-2</v>
      </c>
      <c r="R156" s="27">
        <f t="shared" si="25"/>
        <v>2.2303967275349671E-2</v>
      </c>
      <c r="S156" s="2">
        <v>9.7119180505326509E-3</v>
      </c>
      <c r="T156" s="27">
        <f t="shared" si="26"/>
        <v>1.0639992296472224E-2</v>
      </c>
    </row>
    <row r="157" spans="1:20">
      <c r="A157" s="1">
        <v>42908</v>
      </c>
      <c r="B157">
        <v>-4.5578189908536577E-4</v>
      </c>
      <c r="C157" s="2">
        <v>-4.1802136553645598E-3</v>
      </c>
      <c r="D157" s="2">
        <v>-6.8979280934811978E-3</v>
      </c>
      <c r="E157" s="2">
        <f t="shared" si="18"/>
        <v>-2.717714438116638E-3</v>
      </c>
      <c r="F157" s="2">
        <v>-7.7820361877139052E-3</v>
      </c>
      <c r="G157" s="2">
        <f t="shared" si="19"/>
        <v>-3.6018225323493453E-3</v>
      </c>
      <c r="H157" s="2">
        <v>-6.362106049481342E-3</v>
      </c>
      <c r="I157" s="2">
        <f t="shared" si="20"/>
        <v>-2.1818923941167821E-3</v>
      </c>
      <c r="J157">
        <v>-7.1183547339555633E-3</v>
      </c>
      <c r="K157" s="27">
        <f t="shared" si="21"/>
        <v>-2.9381410785910035E-3</v>
      </c>
      <c r="L157" s="27">
        <f t="shared" si="22"/>
        <v>3.7244317562791941E-3</v>
      </c>
      <c r="M157" s="2">
        <v>2.8612303290414903E-2</v>
      </c>
      <c r="N157" s="27">
        <f t="shared" si="23"/>
        <v>3.2792516945779462E-2</v>
      </c>
      <c r="O157" s="2">
        <v>-1.6451977762015413E-3</v>
      </c>
      <c r="P157" s="27">
        <f t="shared" si="24"/>
        <v>2.5350158791630183E-3</v>
      </c>
      <c r="Q157" s="2">
        <v>-4.4060205757445571E-3</v>
      </c>
      <c r="R157" s="27">
        <f t="shared" si="25"/>
        <v>-2.2580692037999731E-4</v>
      </c>
      <c r="S157" s="2">
        <v>-9.2792275082408755E-4</v>
      </c>
      <c r="T157" s="27">
        <f t="shared" si="26"/>
        <v>3.2522909045404722E-3</v>
      </c>
    </row>
    <row r="158" spans="1:20">
      <c r="A158" s="1">
        <v>42909</v>
      </c>
      <c r="B158">
        <v>1.5609155884164898E-3</v>
      </c>
      <c r="C158" s="2">
        <v>-3.2649253731343829E-3</v>
      </c>
      <c r="D158" s="2">
        <v>-2.8666974967598343E-2</v>
      </c>
      <c r="E158" s="2">
        <f t="shared" si="18"/>
        <v>-2.540204959446396E-2</v>
      </c>
      <c r="F158" s="2">
        <v>6.7045885924737038E-3</v>
      </c>
      <c r="G158" s="2">
        <f t="shared" si="19"/>
        <v>9.9695139656080858E-3</v>
      </c>
      <c r="H158" s="2">
        <v>-4.9476342438821473E-3</v>
      </c>
      <c r="I158" s="2">
        <f t="shared" si="20"/>
        <v>-1.6827088707477645E-3</v>
      </c>
      <c r="J158">
        <v>5.2013142559552009E-3</v>
      </c>
      <c r="K158" s="27">
        <f t="shared" si="21"/>
        <v>8.4662396290895829E-3</v>
      </c>
      <c r="L158" s="27">
        <f t="shared" si="22"/>
        <v>4.8258409615508724E-3</v>
      </c>
      <c r="M158" s="2">
        <v>-1.4603616133518835E-2</v>
      </c>
      <c r="N158" s="27">
        <f t="shared" si="23"/>
        <v>-1.1338690760384452E-2</v>
      </c>
      <c r="O158" s="2">
        <v>4.4632878494146131E-3</v>
      </c>
      <c r="P158" s="27">
        <f t="shared" si="24"/>
        <v>7.728213222548996E-3</v>
      </c>
      <c r="Q158" s="2">
        <v>4.9991504917573284E-3</v>
      </c>
      <c r="R158" s="27">
        <f t="shared" si="25"/>
        <v>8.2640758648917113E-3</v>
      </c>
      <c r="S158" s="2">
        <v>2.4368341448537494E-3</v>
      </c>
      <c r="T158" s="27">
        <f t="shared" si="26"/>
        <v>5.7017595179881322E-3</v>
      </c>
    </row>
    <row r="159" spans="1:20">
      <c r="A159" s="1">
        <v>42912</v>
      </c>
      <c r="B159">
        <v>3.158015767238528E-4</v>
      </c>
      <c r="C159" s="2">
        <v>2.8544688816097306E-2</v>
      </c>
      <c r="D159" s="2">
        <v>-1.0921184282707184E-2</v>
      </c>
      <c r="E159" s="2">
        <f t="shared" si="18"/>
        <v>-3.9465873098804491E-2</v>
      </c>
      <c r="F159" s="2">
        <v>-1.5958886591284045E-2</v>
      </c>
      <c r="G159" s="2">
        <f t="shared" si="19"/>
        <v>-4.4503575407381354E-2</v>
      </c>
      <c r="H159" s="2">
        <v>-3.5097920482892587E-3</v>
      </c>
      <c r="I159" s="2">
        <f t="shared" si="20"/>
        <v>-3.2054480864386566E-2</v>
      </c>
      <c r="J159">
        <v>-1.9578981175406912E-3</v>
      </c>
      <c r="K159" s="27">
        <f t="shared" si="21"/>
        <v>-3.0502586933637998E-2</v>
      </c>
      <c r="L159" s="27">
        <f t="shared" si="22"/>
        <v>-2.8228887239373453E-2</v>
      </c>
      <c r="M159" s="2">
        <v>-6.3514467184191854E-3</v>
      </c>
      <c r="N159" s="27">
        <f t="shared" si="23"/>
        <v>-3.4896135534516495E-2</v>
      </c>
      <c r="O159" s="2">
        <v>-3.1445412636983599E-3</v>
      </c>
      <c r="P159" s="27">
        <f t="shared" si="24"/>
        <v>-3.1689230079795669E-2</v>
      </c>
      <c r="Q159" s="2">
        <v>-1.0233994286124076E-2</v>
      </c>
      <c r="R159" s="27">
        <f t="shared" si="25"/>
        <v>-3.8778683102221378E-2</v>
      </c>
      <c r="S159" s="2">
        <v>-9.7236436699110491E-3</v>
      </c>
      <c r="T159" s="27">
        <f t="shared" si="26"/>
        <v>-3.8268332486008354E-2</v>
      </c>
    </row>
    <row r="160" spans="1:20">
      <c r="A160" s="1">
        <v>42913</v>
      </c>
      <c r="B160">
        <v>-8.0728246631084181E-3</v>
      </c>
      <c r="C160" s="2">
        <v>1.0464058234758931E-2</v>
      </c>
      <c r="D160" s="2">
        <v>-3.6608568698278901E-2</v>
      </c>
      <c r="E160" s="2">
        <f t="shared" si="18"/>
        <v>-4.7072626933037834E-2</v>
      </c>
      <c r="F160" s="2">
        <v>-1.7366853611583421E-2</v>
      </c>
      <c r="G160" s="2">
        <f t="shared" si="19"/>
        <v>-2.783091184634235E-2</v>
      </c>
      <c r="H160" s="2">
        <v>-1.2327420280639673E-2</v>
      </c>
      <c r="I160" s="2">
        <f t="shared" si="20"/>
        <v>-2.2791478515398603E-2</v>
      </c>
      <c r="J160">
        <v>-8.4074618764789725E-3</v>
      </c>
      <c r="K160" s="27">
        <f t="shared" si="21"/>
        <v>-1.8871520111237904E-2</v>
      </c>
      <c r="L160" s="27">
        <f t="shared" si="22"/>
        <v>-1.8536882897867347E-2</v>
      </c>
      <c r="M160" s="2">
        <v>-4.8295454545454523E-2</v>
      </c>
      <c r="N160" s="27">
        <f t="shared" si="23"/>
        <v>-5.8759512780213456E-2</v>
      </c>
      <c r="O160" s="2">
        <v>-1.4332871275444229E-2</v>
      </c>
      <c r="P160" s="27">
        <f t="shared" si="24"/>
        <v>-2.479692951020316E-2</v>
      </c>
      <c r="Q160" s="2">
        <v>-3.0566394520913302E-2</v>
      </c>
      <c r="R160" s="27">
        <f t="shared" si="25"/>
        <v>-4.1030452755672235E-2</v>
      </c>
      <c r="S160" s="2">
        <v>-1.7304122161494583E-2</v>
      </c>
      <c r="T160" s="27">
        <f t="shared" si="26"/>
        <v>-2.7768180396253513E-2</v>
      </c>
    </row>
    <row r="161" spans="1:20">
      <c r="A161" s="1">
        <v>42914</v>
      </c>
      <c r="B161">
        <v>8.8080661287370157E-3</v>
      </c>
      <c r="C161" s="2">
        <v>2.0711391265195774E-2</v>
      </c>
      <c r="D161" s="2">
        <v>3.5270832615658956E-2</v>
      </c>
      <c r="E161" s="2">
        <f t="shared" si="18"/>
        <v>1.4559441350463182E-2</v>
      </c>
      <c r="F161" s="2">
        <v>1.442495881835185E-2</v>
      </c>
      <c r="G161" s="2">
        <f t="shared" si="19"/>
        <v>-6.2864324468439245E-3</v>
      </c>
      <c r="H161" s="2">
        <v>1.6344513389014645E-2</v>
      </c>
      <c r="I161" s="2">
        <f t="shared" si="20"/>
        <v>-4.3668778761811293E-3</v>
      </c>
      <c r="J161">
        <v>1.7098834290248194E-2</v>
      </c>
      <c r="K161" s="27">
        <f t="shared" si="21"/>
        <v>-3.6125569749475804E-3</v>
      </c>
      <c r="L161" s="27">
        <f t="shared" si="22"/>
        <v>-1.1903325136458759E-2</v>
      </c>
      <c r="M161" s="2">
        <v>-1.2686567164179098E-2</v>
      </c>
      <c r="N161" s="27">
        <f t="shared" si="23"/>
        <v>-3.3397958429374874E-2</v>
      </c>
      <c r="O161" s="2">
        <v>1.4610708960101661E-2</v>
      </c>
      <c r="P161" s="27">
        <f t="shared" si="24"/>
        <v>-6.1006823050941128E-3</v>
      </c>
      <c r="Q161" s="2">
        <v>2.4306303120794813E-2</v>
      </c>
      <c r="R161" s="27">
        <f t="shared" si="25"/>
        <v>3.5949118555990388E-3</v>
      </c>
      <c r="S161" s="2">
        <v>1.387209770645299E-2</v>
      </c>
      <c r="T161" s="27">
        <f t="shared" si="26"/>
        <v>-6.8392935587427844E-3</v>
      </c>
    </row>
    <row r="162" spans="1:20">
      <c r="A162" s="1">
        <v>42915</v>
      </c>
      <c r="B162">
        <v>-8.6000231522239193E-3</v>
      </c>
      <c r="C162" s="2">
        <v>1.5438906043229001E-2</v>
      </c>
      <c r="D162" s="2">
        <v>-3.3410291527870201E-2</v>
      </c>
      <c r="E162" s="2">
        <f t="shared" si="18"/>
        <v>-4.88491975710992E-2</v>
      </c>
      <c r="F162" s="2">
        <v>-1.4860318554677406E-2</v>
      </c>
      <c r="G162" s="2">
        <f t="shared" si="19"/>
        <v>-3.0299224597906405E-2</v>
      </c>
      <c r="H162" s="2">
        <v>-1.9298094481416131E-2</v>
      </c>
      <c r="I162" s="2">
        <f t="shared" si="20"/>
        <v>-3.473700052464513E-2</v>
      </c>
      <c r="J162">
        <v>-2.1813123066615897E-2</v>
      </c>
      <c r="K162" s="27">
        <f t="shared" si="21"/>
        <v>-3.7252029109844896E-2</v>
      </c>
      <c r="L162" s="27">
        <f t="shared" si="22"/>
        <v>-2.4038929195452918E-2</v>
      </c>
      <c r="M162" s="2">
        <v>-4.7619047619047679E-2</v>
      </c>
      <c r="N162" s="27">
        <f t="shared" si="23"/>
        <v>-6.3057953662276678E-2</v>
      </c>
      <c r="O162" s="2">
        <v>-1.47432510753148E-2</v>
      </c>
      <c r="P162" s="27">
        <f t="shared" si="24"/>
        <v>-3.0182157118543801E-2</v>
      </c>
      <c r="Q162" s="2">
        <v>-2.9081161274348601E-2</v>
      </c>
      <c r="R162" s="27">
        <f t="shared" si="25"/>
        <v>-4.45200673175776E-2</v>
      </c>
      <c r="S162" s="2">
        <v>-1.4540631660970881E-2</v>
      </c>
      <c r="T162" s="27">
        <f t="shared" si="26"/>
        <v>-2.997953770419988E-2</v>
      </c>
    </row>
    <row r="163" spans="1:20">
      <c r="A163" s="1">
        <v>42916</v>
      </c>
      <c r="B163">
        <v>1.5332318366443696E-3</v>
      </c>
      <c r="C163" s="2">
        <v>1.9113814074717652E-2</v>
      </c>
      <c r="D163" s="2">
        <v>-1.4453217789819521E-2</v>
      </c>
      <c r="E163" s="2">
        <f t="shared" si="18"/>
        <v>-3.3567031864537175E-2</v>
      </c>
      <c r="F163" s="2">
        <v>3.9016134538363622E-4</v>
      </c>
      <c r="G163" s="2">
        <f t="shared" si="19"/>
        <v>-1.8723652729334017E-2</v>
      </c>
      <c r="H163" s="2">
        <v>5.9630786615295231E-3</v>
      </c>
      <c r="I163" s="2">
        <f t="shared" si="20"/>
        <v>-1.315073541318813E-2</v>
      </c>
      <c r="J163">
        <v>6.3913075263295641E-4</v>
      </c>
      <c r="K163" s="27">
        <f t="shared" si="21"/>
        <v>-1.8474683322084694E-2</v>
      </c>
      <c r="L163" s="27">
        <f t="shared" si="22"/>
        <v>-1.7580582238073281E-2</v>
      </c>
      <c r="M163" s="2">
        <v>-9.5238095238094622E-3</v>
      </c>
      <c r="N163" s="27">
        <f t="shared" si="23"/>
        <v>-2.8637623598527114E-2</v>
      </c>
      <c r="O163" s="2">
        <v>2.3665246813099304E-3</v>
      </c>
      <c r="P163" s="27">
        <f t="shared" si="24"/>
        <v>-1.6747289393407722E-2</v>
      </c>
      <c r="Q163" s="2">
        <v>-4.2300134159230837E-3</v>
      </c>
      <c r="R163" s="27">
        <f t="shared" si="25"/>
        <v>-2.3343827490640734E-2</v>
      </c>
      <c r="S163" s="2">
        <v>-8.1255756630895636E-3</v>
      </c>
      <c r="T163" s="27">
        <f t="shared" si="26"/>
        <v>-2.7239389737807214E-2</v>
      </c>
    </row>
    <row r="164" spans="1:20">
      <c r="A164" s="1">
        <v>42919</v>
      </c>
      <c r="B164">
        <v>2.3108339915050612E-3</v>
      </c>
      <c r="C164" s="2">
        <v>-5.1150895140665009E-3</v>
      </c>
      <c r="D164" s="2">
        <v>-3.6178671869971042E-2</v>
      </c>
      <c r="E164" s="2">
        <f t="shared" si="18"/>
        <v>-3.1063582355904541E-2</v>
      </c>
      <c r="F164" s="2">
        <v>-6.7594176549094992E-3</v>
      </c>
      <c r="G164" s="2">
        <f t="shared" si="19"/>
        <v>-1.6443281408429983E-3</v>
      </c>
      <c r="H164" s="2">
        <v>-8.2988596337167549E-3</v>
      </c>
      <c r="I164" s="2">
        <f t="shared" si="20"/>
        <v>-3.1837701196502539E-3</v>
      </c>
      <c r="J164">
        <v>6.3882898391041856E-4</v>
      </c>
      <c r="K164" s="27">
        <f t="shared" si="21"/>
        <v>5.7539184979769195E-3</v>
      </c>
      <c r="L164" s="27">
        <f t="shared" si="22"/>
        <v>7.4259235055715621E-3</v>
      </c>
      <c r="M164" s="2">
        <v>-2.6442307692307696E-2</v>
      </c>
      <c r="N164" s="27">
        <f t="shared" si="23"/>
        <v>-2.1327218178241195E-2</v>
      </c>
      <c r="O164" s="2">
        <v>-3.6106261949053822E-3</v>
      </c>
      <c r="P164" s="27">
        <f t="shared" si="24"/>
        <v>1.5044633191611187E-3</v>
      </c>
      <c r="Q164" s="2">
        <v>-1.4117162716432178E-2</v>
      </c>
      <c r="R164" s="27">
        <f t="shared" si="25"/>
        <v>-9.0020732023656774E-3</v>
      </c>
      <c r="S164" s="2">
        <v>-1.4814077479338805E-2</v>
      </c>
      <c r="T164" s="27">
        <f t="shared" si="26"/>
        <v>-9.698987965272304E-3</v>
      </c>
    </row>
    <row r="165" spans="1:20">
      <c r="A165" s="1">
        <v>42921</v>
      </c>
      <c r="B165">
        <v>1.4532789018848109E-3</v>
      </c>
      <c r="C165" s="2">
        <v>1.5424164524421607E-2</v>
      </c>
      <c r="D165" s="2">
        <v>2.6699154297374589E-2</v>
      </c>
      <c r="E165" s="2">
        <f t="shared" si="18"/>
        <v>1.1274989772952982E-2</v>
      </c>
      <c r="F165" s="2">
        <v>6.5436780868644556E-3</v>
      </c>
      <c r="G165" s="2">
        <f t="shared" si="19"/>
        <v>-8.8804864375571519E-3</v>
      </c>
      <c r="H165" s="2">
        <v>2.630007335141589E-2</v>
      </c>
      <c r="I165" s="2">
        <f t="shared" si="20"/>
        <v>1.0875908826994282E-2</v>
      </c>
      <c r="J165">
        <v>2.7519610344009793E-2</v>
      </c>
      <c r="K165" s="27">
        <f t="shared" si="21"/>
        <v>1.2095445819588185E-2</v>
      </c>
      <c r="L165" s="27">
        <f t="shared" si="22"/>
        <v>-1.3970885622536797E-2</v>
      </c>
      <c r="M165" s="2">
        <v>8.5596707818929973E-2</v>
      </c>
      <c r="N165" s="27">
        <f t="shared" si="23"/>
        <v>7.0172543294508366E-2</v>
      </c>
      <c r="O165" s="2">
        <v>4.111385533786341E-3</v>
      </c>
      <c r="P165" s="27">
        <f t="shared" si="24"/>
        <v>-1.1312778990635267E-2</v>
      </c>
      <c r="Q165" s="2">
        <v>8.0518779466533762E-3</v>
      </c>
      <c r="R165" s="27">
        <f t="shared" si="25"/>
        <v>-7.3722865777682313E-3</v>
      </c>
      <c r="S165" s="2">
        <v>1.8602071495350463E-2</v>
      </c>
      <c r="T165" s="27">
        <f t="shared" si="26"/>
        <v>3.1779069709288559E-3</v>
      </c>
    </row>
    <row r="166" spans="1:20">
      <c r="A166" s="1">
        <v>42922</v>
      </c>
      <c r="B166">
        <v>-9.3688237951342433E-3</v>
      </c>
      <c r="C166" s="2">
        <v>9.7046413502108377E-3</v>
      </c>
      <c r="D166" s="2">
        <v>3.0059717543634763E-3</v>
      </c>
      <c r="E166" s="2">
        <f t="shared" si="18"/>
        <v>-6.6986695958473619E-3</v>
      </c>
      <c r="F166" s="2">
        <v>-6.5016238524720656E-4</v>
      </c>
      <c r="G166" s="2">
        <f t="shared" si="19"/>
        <v>-1.0354803735458044E-2</v>
      </c>
      <c r="H166" s="2">
        <v>-2.0675589262321548E-2</v>
      </c>
      <c r="I166" s="2">
        <f t="shared" si="20"/>
        <v>-3.0380230612532387E-2</v>
      </c>
      <c r="J166">
        <v>-1.8430303666400989E-2</v>
      </c>
      <c r="K166" s="27">
        <f t="shared" si="21"/>
        <v>-2.8134945016611825E-2</v>
      </c>
      <c r="L166" s="27">
        <f t="shared" si="22"/>
        <v>-1.9073465145345081E-2</v>
      </c>
      <c r="M166" s="2">
        <v>-1.2888551933282786E-2</v>
      </c>
      <c r="N166" s="27">
        <f t="shared" si="23"/>
        <v>-2.2593193283493622E-2</v>
      </c>
      <c r="O166" s="2">
        <v>-9.4385129363704703E-3</v>
      </c>
      <c r="P166" s="27">
        <f t="shared" si="24"/>
        <v>-1.914315428658131E-2</v>
      </c>
      <c r="Q166" s="2">
        <v>1.4809355191136313E-2</v>
      </c>
      <c r="R166" s="27">
        <f t="shared" si="25"/>
        <v>5.1047138409254754E-3</v>
      </c>
      <c r="S166" s="2">
        <v>-6.4443162912667185E-3</v>
      </c>
      <c r="T166" s="27">
        <f t="shared" si="26"/>
        <v>-1.6148957641477557E-2</v>
      </c>
    </row>
    <row r="167" spans="1:20">
      <c r="A167" s="1">
        <v>42923</v>
      </c>
      <c r="B167">
        <v>6.4031256354393643E-3</v>
      </c>
      <c r="C167" s="2">
        <v>-9.1934809862096942E-3</v>
      </c>
      <c r="D167" s="2">
        <v>2.2860330375639244E-2</v>
      </c>
      <c r="E167" s="2">
        <f t="shared" si="18"/>
        <v>3.2053811361848941E-2</v>
      </c>
      <c r="F167" s="2">
        <v>2.1077266619804903E-2</v>
      </c>
      <c r="G167" s="2">
        <f t="shared" si="19"/>
        <v>3.0270747606014597E-2</v>
      </c>
      <c r="H167" s="2">
        <v>7.4337952566422552E-3</v>
      </c>
      <c r="I167" s="2">
        <f t="shared" si="20"/>
        <v>1.662727624285195E-2</v>
      </c>
      <c r="J167">
        <v>1.6174121297625615E-3</v>
      </c>
      <c r="K167" s="27">
        <f t="shared" si="21"/>
        <v>1.0810893115972256E-2</v>
      </c>
      <c r="L167" s="27">
        <f t="shared" si="22"/>
        <v>1.5596606621649058E-2</v>
      </c>
      <c r="M167" s="2">
        <v>2.6113671274961586E-2</v>
      </c>
      <c r="N167" s="27">
        <f t="shared" si="23"/>
        <v>3.530715226117128E-2</v>
      </c>
      <c r="O167" s="2">
        <v>1.0158995578432396E-2</v>
      </c>
      <c r="P167" s="27">
        <f t="shared" si="24"/>
        <v>1.935247656464209E-2</v>
      </c>
      <c r="Q167" s="2">
        <v>1.9486047542170131E-2</v>
      </c>
      <c r="R167" s="27">
        <f t="shared" si="25"/>
        <v>2.8679528528379825E-2</v>
      </c>
      <c r="S167" s="2">
        <v>1.4111936908967573E-2</v>
      </c>
      <c r="T167" s="27">
        <f t="shared" si="26"/>
        <v>2.3305417895177268E-2</v>
      </c>
    </row>
    <row r="168" spans="1:20">
      <c r="A168" s="1">
        <v>42926</v>
      </c>
      <c r="B168">
        <v>9.2776621244118065E-4</v>
      </c>
      <c r="C168" s="2">
        <v>-3.7958667229016857E-3</v>
      </c>
      <c r="D168" s="2">
        <v>4.7288012032661038E-2</v>
      </c>
      <c r="E168" s="2">
        <f t="shared" si="18"/>
        <v>5.1083878755562723E-2</v>
      </c>
      <c r="F168" s="2">
        <v>3.8226384621239916E-3</v>
      </c>
      <c r="G168" s="2">
        <f t="shared" si="19"/>
        <v>7.6185051850256773E-3</v>
      </c>
      <c r="H168" s="2">
        <v>-6.788534243229497E-3</v>
      </c>
      <c r="I168" s="2">
        <f t="shared" si="20"/>
        <v>-2.9926675203278113E-3</v>
      </c>
      <c r="J168">
        <v>9.6890056015098685E-3</v>
      </c>
      <c r="K168" s="27">
        <f t="shared" si="21"/>
        <v>1.3484872324411555E-2</v>
      </c>
      <c r="L168" s="27">
        <f t="shared" si="22"/>
        <v>4.7236329353428667E-3</v>
      </c>
      <c r="M168" s="2">
        <v>3.3682634730539E-2</v>
      </c>
      <c r="N168" s="27">
        <f t="shared" si="23"/>
        <v>3.7478501453440685E-2</v>
      </c>
      <c r="O168" s="2">
        <v>6.1035525408393359E-3</v>
      </c>
      <c r="P168" s="27">
        <f t="shared" si="24"/>
        <v>9.8994192637410217E-3</v>
      </c>
      <c r="Q168" s="2">
        <v>8.9726188308940046E-3</v>
      </c>
      <c r="R168" s="27">
        <f t="shared" si="25"/>
        <v>1.2768485553795689E-2</v>
      </c>
      <c r="S168" s="2">
        <v>1.8094283398440054E-2</v>
      </c>
      <c r="T168" s="27">
        <f t="shared" si="26"/>
        <v>2.1890150121341739E-2</v>
      </c>
    </row>
    <row r="169" spans="1:20">
      <c r="A169" s="1">
        <v>42927</v>
      </c>
      <c r="B169">
        <v>-7.8268088192956942E-4</v>
      </c>
      <c r="C169" s="2">
        <v>-1.4817950889077112E-2</v>
      </c>
      <c r="D169" s="2">
        <v>1.4183589963451848E-2</v>
      </c>
      <c r="E169" s="2">
        <f t="shared" si="18"/>
        <v>2.900154085252896E-2</v>
      </c>
      <c r="F169" s="2">
        <v>3.3003493332300145E-3</v>
      </c>
      <c r="G169" s="2">
        <f t="shared" si="19"/>
        <v>1.8118300222307128E-2</v>
      </c>
      <c r="H169" s="2">
        <v>8.0236083299465855E-3</v>
      </c>
      <c r="I169" s="2">
        <f t="shared" si="20"/>
        <v>2.2841559219023699E-2</v>
      </c>
      <c r="J169">
        <v>1.3907238911163881E-2</v>
      </c>
      <c r="K169" s="27">
        <f t="shared" si="21"/>
        <v>2.8725189800240993E-2</v>
      </c>
      <c r="L169" s="27">
        <f t="shared" si="22"/>
        <v>1.4035270007147542E-2</v>
      </c>
      <c r="M169" s="2">
        <v>5.7929036929761091E-3</v>
      </c>
      <c r="N169" s="27">
        <f t="shared" si="23"/>
        <v>2.0610854582053223E-2</v>
      </c>
      <c r="O169" s="2">
        <v>3.2399859736765529E-3</v>
      </c>
      <c r="P169" s="27">
        <f t="shared" si="24"/>
        <v>1.8057936862753664E-2</v>
      </c>
      <c r="Q169" s="2">
        <v>-3.6398914651723617E-3</v>
      </c>
      <c r="R169" s="27">
        <f t="shared" si="25"/>
        <v>1.117805942390475E-2</v>
      </c>
      <c r="S169" s="2">
        <v>-2.3482554096956364E-3</v>
      </c>
      <c r="T169" s="27">
        <f t="shared" si="26"/>
        <v>1.2469695479381475E-2</v>
      </c>
    </row>
    <row r="170" spans="1:20">
      <c r="A170" s="1">
        <v>42928</v>
      </c>
      <c r="B170">
        <v>7.3056077591855647E-3</v>
      </c>
      <c r="C170" s="2">
        <v>9.024495058014571E-3</v>
      </c>
      <c r="D170" s="2">
        <v>4.2532670624852831E-2</v>
      </c>
      <c r="E170" s="2">
        <f t="shared" si="18"/>
        <v>3.3508175566838258E-2</v>
      </c>
      <c r="F170" s="2">
        <v>1.8724576881145996E-2</v>
      </c>
      <c r="G170" s="2">
        <f t="shared" si="19"/>
        <v>9.7000818231314252E-3</v>
      </c>
      <c r="H170" s="2">
        <v>9.7288762392765179E-3</v>
      </c>
      <c r="I170" s="2">
        <f t="shared" si="20"/>
        <v>7.0438118126194688E-4</v>
      </c>
      <c r="J170">
        <v>2.187780017663804E-2</v>
      </c>
      <c r="K170" s="27">
        <f t="shared" si="21"/>
        <v>1.2853305118623469E-2</v>
      </c>
      <c r="L170" s="27">
        <f t="shared" si="22"/>
        <v>-1.7188872988290064E-3</v>
      </c>
      <c r="M170" s="2">
        <v>2.8797696184305152E-2</v>
      </c>
      <c r="N170" s="27">
        <f t="shared" si="23"/>
        <v>1.9773201126290579E-2</v>
      </c>
      <c r="O170" s="2">
        <v>1.4430411241347376E-3</v>
      </c>
      <c r="P170" s="27">
        <f t="shared" si="24"/>
        <v>-7.581453933879833E-3</v>
      </c>
      <c r="Q170" s="2">
        <v>2.2956557372884413E-2</v>
      </c>
      <c r="R170" s="27">
        <f t="shared" si="25"/>
        <v>1.3932062314869842E-2</v>
      </c>
      <c r="S170" s="2">
        <v>1.2453104662100993E-2</v>
      </c>
      <c r="T170" s="27">
        <f t="shared" si="26"/>
        <v>3.4286096040864224E-3</v>
      </c>
    </row>
    <row r="171" spans="1:20">
      <c r="A171" s="1">
        <v>42929</v>
      </c>
      <c r="B171">
        <v>1.8745842627647428E-3</v>
      </c>
      <c r="C171" s="2">
        <v>-1.2350936967631992E-2</v>
      </c>
      <c r="D171" s="2">
        <v>-1.1568492498939924E-2</v>
      </c>
      <c r="E171" s="2">
        <f t="shared" si="18"/>
        <v>7.8244446869206799E-4</v>
      </c>
      <c r="F171" s="2">
        <v>2.4848079958310939E-4</v>
      </c>
      <c r="G171" s="2">
        <f t="shared" si="19"/>
        <v>1.25994177672151E-2</v>
      </c>
      <c r="H171" s="2">
        <v>-2.920294484281527E-4</v>
      </c>
      <c r="I171" s="2">
        <f t="shared" si="20"/>
        <v>1.2058907519203839E-2</v>
      </c>
      <c r="J171">
        <v>3.4899597315436251E-3</v>
      </c>
      <c r="K171" s="27">
        <f t="shared" si="21"/>
        <v>1.5840896699175617E-2</v>
      </c>
      <c r="L171" s="27">
        <f t="shared" si="22"/>
        <v>1.4225521230396734E-2</v>
      </c>
      <c r="M171" s="2">
        <v>-5.3184044786564022E-2</v>
      </c>
      <c r="N171" s="27">
        <f t="shared" si="23"/>
        <v>-4.0833107818932027E-2</v>
      </c>
      <c r="O171" s="2">
        <v>1.3929015846382896E-2</v>
      </c>
      <c r="P171" s="27">
        <f t="shared" si="24"/>
        <v>2.6279952814014886E-2</v>
      </c>
      <c r="Q171" s="2">
        <v>3.6116841532236061E-3</v>
      </c>
      <c r="R171" s="27">
        <f t="shared" si="25"/>
        <v>1.59626211208556E-2</v>
      </c>
      <c r="S171" s="2">
        <v>-5.8419736928398587E-3</v>
      </c>
      <c r="T171" s="27">
        <f t="shared" si="26"/>
        <v>6.508963274792133E-3</v>
      </c>
    </row>
    <row r="172" spans="1:20">
      <c r="A172" s="1">
        <v>42930</v>
      </c>
      <c r="B172">
        <v>4.6735033214997425E-3</v>
      </c>
      <c r="C172" s="2">
        <v>-4.3122035360068081E-3</v>
      </c>
      <c r="D172" s="2">
        <v>2.6894060359685855E-2</v>
      </c>
      <c r="E172" s="2">
        <f t="shared" si="18"/>
        <v>3.1206263895692664E-2</v>
      </c>
      <c r="F172" s="2">
        <v>1.8127614914030064E-2</v>
      </c>
      <c r="G172" s="2">
        <f t="shared" si="19"/>
        <v>2.2439818450036873E-2</v>
      </c>
      <c r="H172" s="2">
        <v>1.2850533265562944E-2</v>
      </c>
      <c r="I172" s="2">
        <f t="shared" si="20"/>
        <v>1.7162736801569753E-2</v>
      </c>
      <c r="J172">
        <v>1.5449424412803035E-2</v>
      </c>
      <c r="K172" s="27">
        <f t="shared" si="21"/>
        <v>1.9761627948809844E-2</v>
      </c>
      <c r="L172" s="27">
        <f t="shared" si="22"/>
        <v>8.9857068575065514E-3</v>
      </c>
      <c r="M172" s="2">
        <v>2.8824833702882528E-2</v>
      </c>
      <c r="N172" s="27">
        <f t="shared" si="23"/>
        <v>3.3137037238889333E-2</v>
      </c>
      <c r="O172" s="2">
        <v>8.5943146433911915E-3</v>
      </c>
      <c r="P172" s="27">
        <f t="shared" si="24"/>
        <v>1.2906518179397999E-2</v>
      </c>
      <c r="Q172" s="2">
        <v>1.2049641568366734E-2</v>
      </c>
      <c r="R172" s="27">
        <f t="shared" si="25"/>
        <v>1.6361845104373541E-2</v>
      </c>
      <c r="S172" s="2">
        <v>1.1792500665617834E-3</v>
      </c>
      <c r="T172" s="27">
        <f t="shared" si="26"/>
        <v>5.4914536025685917E-3</v>
      </c>
    </row>
    <row r="173" spans="1:20">
      <c r="A173" s="1">
        <v>42933</v>
      </c>
      <c r="B173">
        <v>-5.2912855823738372E-5</v>
      </c>
      <c r="C173" s="2">
        <v>-1.9922044174967631E-2</v>
      </c>
      <c r="D173" s="2">
        <v>-4.243720883033715E-3</v>
      </c>
      <c r="E173" s="2">
        <f t="shared" si="18"/>
        <v>1.5678323291933915E-2</v>
      </c>
      <c r="F173" s="2">
        <v>-4.1462651348525099E-3</v>
      </c>
      <c r="G173" s="2">
        <f t="shared" si="19"/>
        <v>1.577577904011512E-2</v>
      </c>
      <c r="H173" s="2">
        <v>-6.0553521733173752E-3</v>
      </c>
      <c r="I173" s="2">
        <f t="shared" si="20"/>
        <v>1.3866692001650256E-2</v>
      </c>
      <c r="J173">
        <v>-3.9518276499792681E-3</v>
      </c>
      <c r="K173" s="27">
        <f t="shared" si="21"/>
        <v>1.5970216524988361E-2</v>
      </c>
      <c r="L173" s="27">
        <f t="shared" si="22"/>
        <v>1.9869131319143894E-2</v>
      </c>
      <c r="M173" s="2">
        <v>-8.6206896551723582E-3</v>
      </c>
      <c r="N173" s="27">
        <f t="shared" si="23"/>
        <v>1.1301354519795272E-2</v>
      </c>
      <c r="O173" s="2">
        <v>3.4890126114523754E-3</v>
      </c>
      <c r="P173" s="27">
        <f t="shared" si="24"/>
        <v>2.3411056786420005E-2</v>
      </c>
      <c r="Q173" s="2">
        <v>-5.0740591039050422E-3</v>
      </c>
      <c r="R173" s="27">
        <f t="shared" si="25"/>
        <v>1.4847985071062587E-2</v>
      </c>
      <c r="S173" s="2">
        <v>8.2151106661246046E-3</v>
      </c>
      <c r="T173" s="27">
        <f t="shared" si="26"/>
        <v>2.8137154841092235E-2</v>
      </c>
    </row>
    <row r="174" spans="1:20">
      <c r="A174" s="1">
        <v>42934</v>
      </c>
      <c r="B174">
        <v>5.9785700040284034E-4</v>
      </c>
      <c r="C174" s="2">
        <v>2.2094564737074208E-3</v>
      </c>
      <c r="D174" s="2">
        <v>1.0411051694393181E-2</v>
      </c>
      <c r="E174" s="2">
        <f t="shared" si="18"/>
        <v>8.2015952206857604E-3</v>
      </c>
      <c r="F174" s="2">
        <v>6.1229785852540131E-3</v>
      </c>
      <c r="G174" s="2">
        <f t="shared" si="19"/>
        <v>3.9135221115465923E-3</v>
      </c>
      <c r="H174" s="2">
        <v>1.7405820106379266E-3</v>
      </c>
      <c r="I174" s="2">
        <f t="shared" si="20"/>
        <v>-4.6887446306949419E-4</v>
      </c>
      <c r="J174">
        <v>1.6663387334877666E-2</v>
      </c>
      <c r="K174" s="27">
        <f t="shared" si="21"/>
        <v>1.4453930861170245E-2</v>
      </c>
      <c r="L174" s="27">
        <f t="shared" si="22"/>
        <v>-1.6115994733045804E-3</v>
      </c>
      <c r="M174" s="2">
        <v>-2.318840579710147E-2</v>
      </c>
      <c r="N174" s="27">
        <f t="shared" si="23"/>
        <v>-2.5397862270808889E-2</v>
      </c>
      <c r="O174" s="2">
        <v>3.4769895139388426E-3</v>
      </c>
      <c r="P174" s="27">
        <f t="shared" si="24"/>
        <v>1.2675330402314219E-3</v>
      </c>
      <c r="Q174" s="2">
        <v>7.4692963554874349E-3</v>
      </c>
      <c r="R174" s="27">
        <f t="shared" si="25"/>
        <v>5.2598398817800141E-3</v>
      </c>
      <c r="S174" s="2">
        <v>1.4266735291541139E-2</v>
      </c>
      <c r="T174" s="27">
        <f t="shared" si="26"/>
        <v>1.2057278817833719E-2</v>
      </c>
    </row>
    <row r="175" spans="1:20">
      <c r="A175" s="1">
        <v>42935</v>
      </c>
      <c r="B175">
        <v>5.3726394776610524E-3</v>
      </c>
      <c r="C175" s="2">
        <v>-8.8183421516745142E-4</v>
      </c>
      <c r="D175" s="2">
        <v>-5.1820284491495535E-3</v>
      </c>
      <c r="E175" s="2">
        <f t="shared" si="18"/>
        <v>-4.3001942339821022E-3</v>
      </c>
      <c r="F175" s="2">
        <v>0</v>
      </c>
      <c r="G175" s="2">
        <f t="shared" si="19"/>
        <v>8.8183421516745142E-4</v>
      </c>
      <c r="H175" s="2">
        <v>8.6883752579786262E-4</v>
      </c>
      <c r="I175" s="2">
        <f t="shared" si="20"/>
        <v>1.7506717409653139E-3</v>
      </c>
      <c r="J175">
        <v>-3.9024780487805374E-3</v>
      </c>
      <c r="K175" s="27">
        <f t="shared" si="21"/>
        <v>-3.0206438336130861E-3</v>
      </c>
      <c r="L175" s="27">
        <f t="shared" si="22"/>
        <v>6.2544736928285037E-3</v>
      </c>
      <c r="M175" s="2">
        <v>5.1928783382789523E-3</v>
      </c>
      <c r="N175" s="27">
        <f t="shared" si="23"/>
        <v>6.0747125534464036E-3</v>
      </c>
      <c r="O175" s="2">
        <v>6.2633178110956473E-3</v>
      </c>
      <c r="P175" s="27">
        <f t="shared" si="24"/>
        <v>7.1451520262630986E-3</v>
      </c>
      <c r="Q175" s="2">
        <v>1.4030576438940146E-2</v>
      </c>
      <c r="R175" s="27">
        <f t="shared" si="25"/>
        <v>1.4912410654107597E-2</v>
      </c>
      <c r="S175" s="2">
        <v>2.3622862177285239E-3</v>
      </c>
      <c r="T175" s="27">
        <f t="shared" si="26"/>
        <v>3.2441204328959752E-3</v>
      </c>
    </row>
    <row r="176" spans="1:20">
      <c r="A176" s="1">
        <v>42936</v>
      </c>
      <c r="B176">
        <v>-1.5365930076621139E-4</v>
      </c>
      <c r="C176" s="2">
        <v>-1.5004413062665405E-2</v>
      </c>
      <c r="D176" s="2">
        <v>1.453663908227756E-2</v>
      </c>
      <c r="E176" s="2">
        <f t="shared" si="18"/>
        <v>2.9541052144942966E-2</v>
      </c>
      <c r="F176" s="2">
        <v>6.4507999215212414E-3</v>
      </c>
      <c r="G176" s="2">
        <f t="shared" si="19"/>
        <v>2.1455212984186647E-2</v>
      </c>
      <c r="H176" s="2">
        <v>5.4975872140437237E-3</v>
      </c>
      <c r="I176" s="2">
        <f t="shared" si="20"/>
        <v>2.0502000276709127E-2</v>
      </c>
      <c r="J176">
        <v>-6.7906826036178711E-3</v>
      </c>
      <c r="K176" s="27">
        <f t="shared" si="21"/>
        <v>8.213730459047535E-3</v>
      </c>
      <c r="L176" s="27">
        <f t="shared" si="22"/>
        <v>1.4850753761899194E-2</v>
      </c>
      <c r="M176" s="2">
        <v>1.8450184501845018E-2</v>
      </c>
      <c r="N176" s="27">
        <f t="shared" si="23"/>
        <v>3.3454597564510427E-2</v>
      </c>
      <c r="O176" s="2">
        <v>-4.502802119964372E-3</v>
      </c>
      <c r="P176" s="27">
        <f t="shared" si="24"/>
        <v>1.0501610942701033E-2</v>
      </c>
      <c r="Q176" s="2">
        <v>-3.8128849548069088E-3</v>
      </c>
      <c r="R176" s="27">
        <f t="shared" si="25"/>
        <v>1.1191528107858496E-2</v>
      </c>
      <c r="S176" s="2">
        <v>1.7820717412237157E-3</v>
      </c>
      <c r="T176" s="27">
        <f t="shared" si="26"/>
        <v>1.6786484803889119E-2</v>
      </c>
    </row>
    <row r="177" spans="1:20">
      <c r="A177" s="1">
        <v>42937</v>
      </c>
      <c r="B177">
        <v>-3.6787160364098131E-4</v>
      </c>
      <c r="C177" s="2">
        <v>9.856630824372669E-3</v>
      </c>
      <c r="D177" s="2">
        <v>3.5820882465680752E-3</v>
      </c>
      <c r="E177" s="2">
        <f t="shared" si="18"/>
        <v>-6.2745425778045934E-3</v>
      </c>
      <c r="F177" s="2">
        <v>-1.1972525248052843E-2</v>
      </c>
      <c r="G177" s="2">
        <f t="shared" si="19"/>
        <v>-2.1829156072425512E-2</v>
      </c>
      <c r="H177" s="2">
        <v>-5.7553857800031341E-4</v>
      </c>
      <c r="I177" s="2">
        <f t="shared" si="20"/>
        <v>-1.0432169402372982E-2</v>
      </c>
      <c r="J177">
        <v>-1.4463348797165692E-3</v>
      </c>
      <c r="K177" s="27">
        <f t="shared" si="21"/>
        <v>-1.1302965704089238E-2</v>
      </c>
      <c r="L177" s="27">
        <f t="shared" si="22"/>
        <v>-1.022450242801365E-2</v>
      </c>
      <c r="M177" s="2">
        <v>5.7971014492753676E-3</v>
      </c>
      <c r="N177" s="27">
        <f t="shared" si="23"/>
        <v>-4.0595293750973014E-3</v>
      </c>
      <c r="O177" s="2">
        <v>-4.6558831365502655E-4</v>
      </c>
      <c r="P177" s="27">
        <f t="shared" si="24"/>
        <v>-1.0322219138027696E-2</v>
      </c>
      <c r="Q177" s="2">
        <v>-1.2626671331780169E-3</v>
      </c>
      <c r="R177" s="27">
        <f t="shared" si="25"/>
        <v>-1.1119297957550687E-2</v>
      </c>
      <c r="S177" s="2">
        <v>-2.9453748851205044E-3</v>
      </c>
      <c r="T177" s="27">
        <f t="shared" si="26"/>
        <v>-1.2802005709493174E-2</v>
      </c>
    </row>
    <row r="178" spans="1:20">
      <c r="A178" s="1">
        <v>42940</v>
      </c>
      <c r="B178">
        <v>-1.0637348469647581E-3</v>
      </c>
      <c r="C178" s="2">
        <v>3.1943212067435701E-2</v>
      </c>
      <c r="D178" s="2">
        <v>-1.1600257556717014E-2</v>
      </c>
      <c r="E178" s="2">
        <f t="shared" si="18"/>
        <v>-4.3543469624152717E-2</v>
      </c>
      <c r="F178" s="2">
        <v>-9.5470683582189117E-3</v>
      </c>
      <c r="G178" s="2">
        <f t="shared" si="19"/>
        <v>-4.1490280425654613E-2</v>
      </c>
      <c r="H178" s="2">
        <v>-6.6224759725867621E-3</v>
      </c>
      <c r="I178" s="2">
        <f t="shared" si="20"/>
        <v>-3.8565688040022465E-2</v>
      </c>
      <c r="J178">
        <v>2.4359470829940204E-3</v>
      </c>
      <c r="K178" s="27">
        <f t="shared" si="21"/>
        <v>-2.9507264984441679E-2</v>
      </c>
      <c r="L178" s="27">
        <f t="shared" si="22"/>
        <v>-3.300694691440046E-2</v>
      </c>
      <c r="M178" s="2">
        <v>2.0172910662824159E-2</v>
      </c>
      <c r="N178" s="27">
        <f t="shared" si="23"/>
        <v>-1.1770301404611543E-2</v>
      </c>
      <c r="O178" s="2">
        <v>1.2111491366294629E-2</v>
      </c>
      <c r="P178" s="27">
        <f t="shared" si="24"/>
        <v>-1.9831720701141073E-2</v>
      </c>
      <c r="Q178" s="2">
        <v>-3.160985970403178E-4</v>
      </c>
      <c r="R178" s="27">
        <f t="shared" si="25"/>
        <v>-3.2259310664476022E-2</v>
      </c>
      <c r="S178" s="2">
        <v>1.2947543001460705E-2</v>
      </c>
      <c r="T178" s="27">
        <f t="shared" si="26"/>
        <v>-1.8995669065974996E-2</v>
      </c>
    </row>
    <row r="179" spans="1:20">
      <c r="A179" s="1">
        <v>42941</v>
      </c>
      <c r="B179">
        <v>2.9231717986643664E-3</v>
      </c>
      <c r="C179" s="2">
        <v>-1.8916595012897695E-2</v>
      </c>
      <c r="D179" s="2">
        <v>-4.8148643785932994E-3</v>
      </c>
      <c r="E179" s="2">
        <f t="shared" si="18"/>
        <v>1.4101730634304395E-2</v>
      </c>
      <c r="F179" s="2">
        <v>5.8081813147586175E-3</v>
      </c>
      <c r="G179" s="2">
        <f t="shared" si="19"/>
        <v>2.4724776327656312E-2</v>
      </c>
      <c r="H179" s="2">
        <v>4.9274394182814854E-3</v>
      </c>
      <c r="I179" s="2">
        <f t="shared" si="20"/>
        <v>2.3844034431179179E-2</v>
      </c>
      <c r="J179">
        <v>1.1822343748270131E-3</v>
      </c>
      <c r="K179" s="27">
        <f t="shared" si="21"/>
        <v>2.0098829387724709E-2</v>
      </c>
      <c r="L179" s="27">
        <f t="shared" si="22"/>
        <v>2.1839766811562061E-2</v>
      </c>
      <c r="M179" s="2">
        <v>-3.5310734463277339E-3</v>
      </c>
      <c r="N179" s="27">
        <f t="shared" si="23"/>
        <v>1.538552156656996E-2</v>
      </c>
      <c r="O179" s="2">
        <v>4.2739095350591578E-3</v>
      </c>
      <c r="P179" s="27">
        <f t="shared" si="24"/>
        <v>2.3190504547956854E-2</v>
      </c>
      <c r="Q179" s="2">
        <v>5.0192362581677891E-3</v>
      </c>
      <c r="R179" s="27">
        <f t="shared" si="25"/>
        <v>2.3935831271065484E-2</v>
      </c>
      <c r="S179" s="2">
        <v>8.8555180075268285E-4</v>
      </c>
      <c r="T179" s="27">
        <f t="shared" si="26"/>
        <v>1.9802146813650376E-2</v>
      </c>
    </row>
    <row r="180" spans="1:20">
      <c r="A180" s="1">
        <v>42942</v>
      </c>
      <c r="B180">
        <v>2.826638218711014E-4</v>
      </c>
      <c r="C180" s="2">
        <v>1.2269938650306759E-2</v>
      </c>
      <c r="D180" s="2">
        <v>1.1551194540581657E-2</v>
      </c>
      <c r="E180" s="2">
        <f t="shared" si="18"/>
        <v>-7.187441097251026E-4</v>
      </c>
      <c r="F180" s="2">
        <v>1.4006596262937043E-2</v>
      </c>
      <c r="G180" s="2">
        <f t="shared" si="19"/>
        <v>1.7366576126302841E-3</v>
      </c>
      <c r="H180" s="2">
        <v>2.3075250549958728E-3</v>
      </c>
      <c r="I180" s="2">
        <f t="shared" si="20"/>
        <v>-9.9624135953108872E-3</v>
      </c>
      <c r="J180">
        <v>2.1975800026557447E-2</v>
      </c>
      <c r="K180" s="27">
        <f t="shared" si="21"/>
        <v>9.7058613762506882E-3</v>
      </c>
      <c r="L180" s="27">
        <f t="shared" si="22"/>
        <v>-1.1987274828435658E-2</v>
      </c>
      <c r="M180" s="2">
        <v>4.6066619418851908E-2</v>
      </c>
      <c r="N180" s="27">
        <f t="shared" si="23"/>
        <v>3.3796680768545147E-2</v>
      </c>
      <c r="O180" s="2">
        <v>4.7137955632274514E-3</v>
      </c>
      <c r="P180" s="27">
        <f t="shared" si="24"/>
        <v>-7.5561430870793077E-3</v>
      </c>
      <c r="Q180" s="2">
        <v>1.065673413519789E-2</v>
      </c>
      <c r="R180" s="27">
        <f t="shared" si="25"/>
        <v>-1.6132045151088688E-3</v>
      </c>
      <c r="S180" s="2">
        <v>1.2434298577871676E-2</v>
      </c>
      <c r="T180" s="27">
        <f t="shared" si="26"/>
        <v>1.6435992756491657E-4</v>
      </c>
    </row>
    <row r="181" spans="1:20">
      <c r="A181" s="1">
        <v>42943</v>
      </c>
      <c r="B181">
        <v>-9.7268816832883544E-4</v>
      </c>
      <c r="C181" s="2">
        <v>-9.0909090909090506E-3</v>
      </c>
      <c r="D181" s="2">
        <v>-3.3002461348443396E-2</v>
      </c>
      <c r="E181" s="2">
        <f t="shared" si="18"/>
        <v>-2.3911552257534344E-2</v>
      </c>
      <c r="F181" s="2">
        <v>-1.2922022767993284E-2</v>
      </c>
      <c r="G181" s="2">
        <f t="shared" si="19"/>
        <v>-3.831113677084233E-3</v>
      </c>
      <c r="H181" s="2">
        <v>6.3309535228246007E-3</v>
      </c>
      <c r="I181" s="2">
        <f t="shared" si="20"/>
        <v>1.5421862613733652E-2</v>
      </c>
      <c r="J181">
        <v>-1.0526985516971024E-2</v>
      </c>
      <c r="K181" s="27">
        <f t="shared" si="21"/>
        <v>-1.4360764260619736E-3</v>
      </c>
      <c r="L181" s="27">
        <f t="shared" si="22"/>
        <v>8.118220922580216E-3</v>
      </c>
      <c r="M181" s="2">
        <v>-4.3360433604336085E-2</v>
      </c>
      <c r="N181" s="27">
        <f t="shared" si="23"/>
        <v>-3.4269524513427033E-2</v>
      </c>
      <c r="O181" s="2">
        <v>-1.8897451274087353E-2</v>
      </c>
      <c r="P181" s="27">
        <f t="shared" si="24"/>
        <v>-9.8065421831783021E-3</v>
      </c>
      <c r="Q181" s="2">
        <v>-2.357894750824354E-2</v>
      </c>
      <c r="R181" s="27">
        <f t="shared" si="25"/>
        <v>-1.448803841733449E-2</v>
      </c>
      <c r="S181" s="2">
        <v>-6.4590128072837356E-3</v>
      </c>
      <c r="T181" s="27">
        <f t="shared" si="26"/>
        <v>2.631896283625315E-3</v>
      </c>
    </row>
    <row r="182" spans="1:20">
      <c r="A182" s="1">
        <v>42944</v>
      </c>
      <c r="B182">
        <v>-1.3411154893339964E-3</v>
      </c>
      <c r="C182" s="2">
        <v>1.3106159895149277E-3</v>
      </c>
      <c r="D182" s="2">
        <v>1.638425831134651E-2</v>
      </c>
      <c r="E182" s="2">
        <f t="shared" si="18"/>
        <v>1.5073642321831582E-2</v>
      </c>
      <c r="F182" s="2">
        <v>-3.2111568890161946E-3</v>
      </c>
      <c r="G182" s="2">
        <f t="shared" si="19"/>
        <v>-4.5217728785311223E-3</v>
      </c>
      <c r="H182" s="2">
        <v>9.7226604442568389E-3</v>
      </c>
      <c r="I182" s="2">
        <f t="shared" si="20"/>
        <v>8.4120444547419113E-3</v>
      </c>
      <c r="J182">
        <v>2.2121337221719353E-2</v>
      </c>
      <c r="K182" s="27">
        <f t="shared" si="21"/>
        <v>2.0810721232204427E-2</v>
      </c>
      <c r="L182" s="27">
        <f t="shared" si="22"/>
        <v>-2.6517314788489241E-3</v>
      </c>
      <c r="M182" s="2">
        <v>-1.2039660056657219E-2</v>
      </c>
      <c r="N182" s="27">
        <f t="shared" si="23"/>
        <v>-1.3350276046172147E-2</v>
      </c>
      <c r="O182" s="2">
        <v>-7.0404254007531584E-3</v>
      </c>
      <c r="P182" s="27">
        <f t="shared" si="24"/>
        <v>-8.3510413902680852E-3</v>
      </c>
      <c r="Q182" s="2">
        <v>-2.311210300423729E-3</v>
      </c>
      <c r="R182" s="27">
        <f t="shared" si="25"/>
        <v>-3.6218262899386567E-3</v>
      </c>
      <c r="S182" s="2">
        <v>-2.4818376673040134E-2</v>
      </c>
      <c r="T182" s="27">
        <f t="shared" si="26"/>
        <v>-2.6128992662555063E-2</v>
      </c>
    </row>
    <row r="183" spans="1:20">
      <c r="A183" s="1">
        <v>42947</v>
      </c>
      <c r="B183">
        <v>-7.2814567721437976E-4</v>
      </c>
      <c r="C183" s="2">
        <v>-1.788830715532283E-2</v>
      </c>
      <c r="D183" s="2">
        <v>-1.1436192986163066E-2</v>
      </c>
      <c r="E183" s="2">
        <f t="shared" si="18"/>
        <v>6.4521141691597644E-3</v>
      </c>
      <c r="F183" s="2">
        <v>8.3013451341089929E-3</v>
      </c>
      <c r="G183" s="2">
        <f t="shared" si="19"/>
        <v>2.6189652289431823E-2</v>
      </c>
      <c r="H183" s="2">
        <v>4.5313722941320309E-3</v>
      </c>
      <c r="I183" s="2">
        <f t="shared" si="20"/>
        <v>2.241967944945486E-2</v>
      </c>
      <c r="J183">
        <v>-1.6565124607325846E-2</v>
      </c>
      <c r="K183" s="27">
        <f t="shared" si="21"/>
        <v>1.3231825479969837E-3</v>
      </c>
      <c r="L183" s="27">
        <f t="shared" si="22"/>
        <v>1.7160161478108449E-2</v>
      </c>
      <c r="M183" s="2">
        <v>-2.4372759856630816E-2</v>
      </c>
      <c r="N183" s="27">
        <f t="shared" si="23"/>
        <v>-6.4844527013079856E-3</v>
      </c>
      <c r="O183" s="2">
        <v>-5.1504702834490853E-3</v>
      </c>
      <c r="P183" s="27">
        <f t="shared" si="24"/>
        <v>1.2737836871873746E-2</v>
      </c>
      <c r="Q183" s="2">
        <v>-1.4818024008697177E-2</v>
      </c>
      <c r="R183" s="27">
        <f t="shared" si="25"/>
        <v>3.0702831466256526E-3</v>
      </c>
      <c r="S183" s="2">
        <v>-3.1626161420900703E-2</v>
      </c>
      <c r="T183" s="27">
        <f t="shared" si="26"/>
        <v>-1.3737854265577873E-2</v>
      </c>
    </row>
    <row r="184" spans="1:20">
      <c r="A184" s="1">
        <v>42948</v>
      </c>
      <c r="B184">
        <v>2.4491150386565632E-3</v>
      </c>
      <c r="C184" s="2">
        <v>4.886717014660205E-3</v>
      </c>
      <c r="D184" s="2">
        <v>1.2183851341759228E-2</v>
      </c>
      <c r="E184" s="2">
        <f t="shared" si="18"/>
        <v>7.2971343270990226E-3</v>
      </c>
      <c r="F184" s="2">
        <v>4.0550810058401178E-3</v>
      </c>
      <c r="G184" s="2">
        <f t="shared" si="19"/>
        <v>-8.316360088200872E-4</v>
      </c>
      <c r="H184" s="2">
        <v>2.4809595113638869E-2</v>
      </c>
      <c r="I184" s="2">
        <f t="shared" si="20"/>
        <v>1.9922878098978664E-2</v>
      </c>
      <c r="J184">
        <v>-1.4198193240364913E-3</v>
      </c>
      <c r="K184" s="27">
        <f t="shared" si="21"/>
        <v>-6.3065363386966963E-3</v>
      </c>
      <c r="L184" s="27">
        <f t="shared" si="22"/>
        <v>-2.4376019760036418E-3</v>
      </c>
      <c r="M184" s="2">
        <v>7.3475385745776214E-3</v>
      </c>
      <c r="N184" s="27">
        <f t="shared" si="23"/>
        <v>2.4608215599174164E-3</v>
      </c>
      <c r="O184" s="2">
        <v>8.875197864340538E-3</v>
      </c>
      <c r="P184" s="27">
        <f t="shared" si="24"/>
        <v>3.988480849680333E-3</v>
      </c>
      <c r="Q184" s="2">
        <v>7.0136578638933366E-3</v>
      </c>
      <c r="R184" s="27">
        <f t="shared" si="25"/>
        <v>2.1269408492331316E-3</v>
      </c>
      <c r="S184" s="2">
        <v>8.5140140042252628E-3</v>
      </c>
      <c r="T184" s="27">
        <f t="shared" si="26"/>
        <v>3.6272969895650578E-3</v>
      </c>
    </row>
    <row r="185" spans="1:20">
      <c r="A185" s="1">
        <v>42949</v>
      </c>
      <c r="B185">
        <v>4.9264843488220831E-4</v>
      </c>
      <c r="C185" s="2">
        <v>-1.5030946065428739E-2</v>
      </c>
      <c r="D185" s="2">
        <v>-6.0795165028920315E-4</v>
      </c>
      <c r="E185" s="2">
        <f t="shared" si="18"/>
        <v>1.4422994415139535E-2</v>
      </c>
      <c r="F185" s="2">
        <v>-4.8954182481188054E-3</v>
      </c>
      <c r="G185" s="2">
        <f t="shared" si="19"/>
        <v>1.0135527817309933E-2</v>
      </c>
      <c r="H185" s="2">
        <v>7.9780056145816788E-3</v>
      </c>
      <c r="I185" s="2">
        <f t="shared" si="20"/>
        <v>2.3008951680010416E-2</v>
      </c>
      <c r="J185">
        <v>-1.822524444452266E-2</v>
      </c>
      <c r="K185" s="27">
        <f t="shared" si="21"/>
        <v>-3.1942983790939211E-3</v>
      </c>
      <c r="L185" s="27">
        <f t="shared" si="22"/>
        <v>1.5523594500310947E-2</v>
      </c>
      <c r="M185" s="2">
        <v>-2.4799416484318135E-2</v>
      </c>
      <c r="N185" s="27">
        <f t="shared" si="23"/>
        <v>-9.7684704188893967E-3</v>
      </c>
      <c r="O185" s="2">
        <v>4.7250931289211241E-2</v>
      </c>
      <c r="P185" s="27">
        <f t="shared" si="24"/>
        <v>6.2281877354639983E-2</v>
      </c>
      <c r="Q185" s="2">
        <v>2.0008862198950764E-2</v>
      </c>
      <c r="R185" s="27">
        <f t="shared" si="25"/>
        <v>3.5039808264379503E-2</v>
      </c>
      <c r="S185" s="2">
        <v>-3.0113432116145756E-4</v>
      </c>
      <c r="T185" s="27">
        <f t="shared" si="26"/>
        <v>1.472981174426728E-2</v>
      </c>
    </row>
    <row r="186" spans="1:20">
      <c r="A186" s="1">
        <v>42950</v>
      </c>
      <c r="B186">
        <v>-2.1836540850556948E-3</v>
      </c>
      <c r="C186" s="2">
        <v>1.7504488330340979E-2</v>
      </c>
      <c r="D186" s="2">
        <v>1.2713690013294275E-2</v>
      </c>
      <c r="E186" s="2">
        <f t="shared" si="18"/>
        <v>-4.7907983170467038E-3</v>
      </c>
      <c r="F186" s="2">
        <v>6.1502894076913891E-4</v>
      </c>
      <c r="G186" s="2">
        <f t="shared" si="19"/>
        <v>-1.6889459389571839E-2</v>
      </c>
      <c r="H186" s="2">
        <v>3.382204486120431E-3</v>
      </c>
      <c r="I186" s="2">
        <f t="shared" si="20"/>
        <v>-1.4122283844220547E-2</v>
      </c>
      <c r="J186">
        <v>9.2818311031050826E-3</v>
      </c>
      <c r="K186" s="27">
        <f t="shared" si="21"/>
        <v>-8.2226572272358963E-3</v>
      </c>
      <c r="L186" s="27">
        <f t="shared" si="22"/>
        <v>-1.9688142415396674E-2</v>
      </c>
      <c r="M186" s="2">
        <v>-9.7232610321614822E-3</v>
      </c>
      <c r="N186" s="27">
        <f t="shared" si="23"/>
        <v>-2.7227749362502461E-2</v>
      </c>
      <c r="O186" s="2">
        <v>-9.9910966369490262E-3</v>
      </c>
      <c r="P186" s="27">
        <f t="shared" si="24"/>
        <v>-2.7495584967290005E-2</v>
      </c>
      <c r="Q186" s="2">
        <v>-1.2117178082962279E-2</v>
      </c>
      <c r="R186" s="27">
        <f t="shared" si="25"/>
        <v>-2.9621666413303258E-2</v>
      </c>
      <c r="S186" s="2">
        <v>-9.0070508438624582E-3</v>
      </c>
      <c r="T186" s="27">
        <f t="shared" si="26"/>
        <v>-2.6511539174203437E-2</v>
      </c>
    </row>
    <row r="187" spans="1:20">
      <c r="A187" s="1">
        <v>42951</v>
      </c>
      <c r="B187">
        <v>1.889103523332224E-3</v>
      </c>
      <c r="C187" s="2">
        <v>-4.4111160123510313E-3</v>
      </c>
      <c r="D187" s="2">
        <v>4.3849840835183283E-3</v>
      </c>
      <c r="E187" s="2">
        <f t="shared" si="18"/>
        <v>8.7961000958693587E-3</v>
      </c>
      <c r="F187" s="2">
        <v>8.6031336236990917E-4</v>
      </c>
      <c r="G187" s="2">
        <f t="shared" si="19"/>
        <v>5.2714293747209403E-3</v>
      </c>
      <c r="H187" s="2">
        <v>-5.2069153468331459E-3</v>
      </c>
      <c r="I187" s="2">
        <f t="shared" si="20"/>
        <v>-7.9579933448211456E-4</v>
      </c>
      <c r="J187">
        <v>6.5190448367273611E-5</v>
      </c>
      <c r="K187" s="27">
        <f t="shared" si="21"/>
        <v>4.4763064607183049E-3</v>
      </c>
      <c r="L187" s="27">
        <f t="shared" si="22"/>
        <v>6.3002195356832557E-3</v>
      </c>
      <c r="M187" s="2">
        <v>-9.0634441087614048E-3</v>
      </c>
      <c r="N187" s="27">
        <f t="shared" si="23"/>
        <v>-4.6523280964103735E-3</v>
      </c>
      <c r="O187" s="2">
        <v>5.2708824516816306E-3</v>
      </c>
      <c r="P187" s="27">
        <f t="shared" si="24"/>
        <v>9.6819984640326619E-3</v>
      </c>
      <c r="Q187" s="2">
        <v>-4.4747797058592789E-3</v>
      </c>
      <c r="R187" s="27">
        <f t="shared" si="25"/>
        <v>-6.3663693508247618E-5</v>
      </c>
      <c r="S187" s="2">
        <v>6.6878167568727406E-4</v>
      </c>
      <c r="T187" s="27">
        <f t="shared" si="26"/>
        <v>5.079897688038305E-3</v>
      </c>
    </row>
    <row r="188" spans="1:20">
      <c r="A188" s="1">
        <v>42954</v>
      </c>
      <c r="B188">
        <v>1.6471997963197051E-3</v>
      </c>
      <c r="C188" s="2">
        <v>1.1519716437749137E-2</v>
      </c>
      <c r="D188" s="2">
        <v>3.0739722404121431E-2</v>
      </c>
      <c r="E188" s="2">
        <f t="shared" si="18"/>
        <v>1.9220005966372293E-2</v>
      </c>
      <c r="F188" s="2">
        <v>9.0876051723531512E-3</v>
      </c>
      <c r="G188" s="2">
        <f t="shared" si="19"/>
        <v>-2.4321112653959854E-3</v>
      </c>
      <c r="H188" s="2">
        <v>3.5812911807958144E-3</v>
      </c>
      <c r="I188" s="2">
        <f t="shared" si="20"/>
        <v>-7.9384252569533222E-3</v>
      </c>
      <c r="J188">
        <v>3.5935524216584865E-2</v>
      </c>
      <c r="K188" s="27">
        <f t="shared" si="21"/>
        <v>2.441580777883573E-2</v>
      </c>
      <c r="L188" s="27">
        <f t="shared" si="22"/>
        <v>-9.8725166414294317E-3</v>
      </c>
      <c r="M188" s="2">
        <v>2.3628048780487843E-2</v>
      </c>
      <c r="N188" s="27">
        <f t="shared" si="23"/>
        <v>1.2108332342738707E-2</v>
      </c>
      <c r="O188" s="2">
        <v>1.5474146123230713E-2</v>
      </c>
      <c r="P188" s="27">
        <f t="shared" si="24"/>
        <v>3.9544296854815766E-3</v>
      </c>
      <c r="Q188" s="2">
        <v>1.3123616319307124E-2</v>
      </c>
      <c r="R188" s="27">
        <f t="shared" si="25"/>
        <v>1.603899881557987E-3</v>
      </c>
      <c r="S188" s="2">
        <v>4.7489853169032344E-3</v>
      </c>
      <c r="T188" s="27">
        <f t="shared" si="26"/>
        <v>-6.7707311208459022E-3</v>
      </c>
    </row>
    <row r="189" spans="1:20">
      <c r="A189" s="1">
        <v>42955</v>
      </c>
      <c r="B189">
        <v>-2.4144326930320369E-3</v>
      </c>
      <c r="C189" s="2">
        <v>-1.8396846254927646E-2</v>
      </c>
      <c r="D189" s="2">
        <v>-1.1894437227478228E-2</v>
      </c>
      <c r="E189" s="2">
        <f t="shared" si="18"/>
        <v>6.5024090274494184E-3</v>
      </c>
      <c r="F189" s="2">
        <v>3.4074901805914047E-3</v>
      </c>
      <c r="G189" s="2">
        <f t="shared" si="19"/>
        <v>2.1804336435519052E-2</v>
      </c>
      <c r="H189" s="2">
        <v>-5.4902085528188264E-4</v>
      </c>
      <c r="I189" s="2">
        <f t="shared" si="20"/>
        <v>1.7847825399645762E-2</v>
      </c>
      <c r="J189">
        <v>-8.4361372056444353E-3</v>
      </c>
      <c r="K189" s="27">
        <f t="shared" si="21"/>
        <v>9.9607090492832111E-3</v>
      </c>
      <c r="L189" s="27">
        <f t="shared" si="22"/>
        <v>1.5982413561895611E-2</v>
      </c>
      <c r="M189" s="2">
        <v>-2.3827252419955345E-2</v>
      </c>
      <c r="N189" s="27">
        <f t="shared" si="23"/>
        <v>-5.4304061650276986E-3</v>
      </c>
      <c r="O189" s="2">
        <v>7.9969592093273294E-3</v>
      </c>
      <c r="P189" s="27">
        <f t="shared" si="24"/>
        <v>2.6393805464254974E-2</v>
      </c>
      <c r="Q189" s="2">
        <v>-4.2782630991955589E-3</v>
      </c>
      <c r="R189" s="27">
        <f t="shared" si="25"/>
        <v>1.4118583155732087E-2</v>
      </c>
      <c r="S189" s="2">
        <v>-2.4489231267917186E-3</v>
      </c>
      <c r="T189" s="27">
        <f t="shared" si="26"/>
        <v>1.5947923128135928E-2</v>
      </c>
    </row>
    <row r="190" spans="1:20">
      <c r="A190" s="1">
        <v>42956</v>
      </c>
      <c r="B190">
        <v>-3.6360853213904953E-4</v>
      </c>
      <c r="C190" s="2">
        <v>-1.2940651494868324E-2</v>
      </c>
      <c r="D190" s="2">
        <v>1.06283218299278E-2</v>
      </c>
      <c r="E190" s="2">
        <f t="shared" si="18"/>
        <v>2.3568973324796124E-2</v>
      </c>
      <c r="F190" s="2">
        <v>-2.0617950922041089E-3</v>
      </c>
      <c r="G190" s="2">
        <f t="shared" si="19"/>
        <v>1.0878856402664215E-2</v>
      </c>
      <c r="H190" s="2">
        <v>4.943708608631265E-3</v>
      </c>
      <c r="I190" s="2">
        <f t="shared" si="20"/>
        <v>1.7884360103499589E-2</v>
      </c>
      <c r="J190">
        <v>-6.3460317460339868E-5</v>
      </c>
      <c r="K190" s="27">
        <f t="shared" si="21"/>
        <v>1.2877191177407984E-2</v>
      </c>
      <c r="L190" s="27">
        <f t="shared" si="22"/>
        <v>1.2577042962729275E-2</v>
      </c>
      <c r="M190" s="2">
        <v>-2.1357742181540761E-2</v>
      </c>
      <c r="N190" s="27">
        <f t="shared" si="23"/>
        <v>-8.4170906866724363E-3</v>
      </c>
      <c r="O190" s="2">
        <v>6.1219455917972398E-3</v>
      </c>
      <c r="P190" s="27">
        <f t="shared" si="24"/>
        <v>1.9062597086665564E-2</v>
      </c>
      <c r="Q190" s="2">
        <v>-8.7126298301447979E-3</v>
      </c>
      <c r="R190" s="27">
        <f t="shared" si="25"/>
        <v>4.2280216647235264E-3</v>
      </c>
      <c r="S190" s="2">
        <v>-7.9103863113428111E-3</v>
      </c>
      <c r="T190" s="27">
        <f t="shared" si="26"/>
        <v>5.0302651835255133E-3</v>
      </c>
    </row>
    <row r="191" spans="1:20">
      <c r="A191" s="1">
        <v>42957</v>
      </c>
      <c r="B191">
        <v>-1.4474441884265719E-2</v>
      </c>
      <c r="C191" s="2">
        <v>-1.0397830018083242E-2</v>
      </c>
      <c r="D191" s="2">
        <v>-4.2821410918301182E-2</v>
      </c>
      <c r="E191" s="2">
        <f t="shared" si="18"/>
        <v>-3.2423580900217942E-2</v>
      </c>
      <c r="F191" s="2">
        <v>-2.3334969038593417E-2</v>
      </c>
      <c r="G191" s="2">
        <f t="shared" si="19"/>
        <v>-1.2937139020510175E-2</v>
      </c>
      <c r="H191" s="2">
        <v>-1.2298443970503645E-2</v>
      </c>
      <c r="I191" s="2">
        <f t="shared" si="20"/>
        <v>-1.9006139524204036E-3</v>
      </c>
      <c r="J191">
        <v>-3.6319771530898083E-2</v>
      </c>
      <c r="K191" s="27">
        <f t="shared" si="21"/>
        <v>-2.5921941512814843E-2</v>
      </c>
      <c r="L191" s="27">
        <f t="shared" si="22"/>
        <v>-4.0766118661824773E-3</v>
      </c>
      <c r="M191" s="2">
        <v>-5.5339049103663357E-2</v>
      </c>
      <c r="N191" s="27">
        <f t="shared" si="23"/>
        <v>-4.4941219085580117E-2</v>
      </c>
      <c r="O191" s="2">
        <v>-3.1851762266220648E-2</v>
      </c>
      <c r="P191" s="27">
        <f t="shared" si="24"/>
        <v>-2.1453932248137408E-2</v>
      </c>
      <c r="Q191" s="2">
        <v>-3.3952696189107741E-2</v>
      </c>
      <c r="R191" s="27">
        <f t="shared" si="25"/>
        <v>-2.3554866171024501E-2</v>
      </c>
      <c r="S191" s="2">
        <v>-2.5549665221844292E-2</v>
      </c>
      <c r="T191" s="27">
        <f t="shared" si="26"/>
        <v>-1.515183520376105E-2</v>
      </c>
    </row>
    <row r="192" spans="1:20">
      <c r="A192" s="1">
        <v>42958</v>
      </c>
      <c r="B192">
        <v>1.2755698031536222E-3</v>
      </c>
      <c r="C192" s="2">
        <v>1.3704888076747284E-2</v>
      </c>
      <c r="D192" s="2">
        <v>-5.3296108894327732E-2</v>
      </c>
      <c r="E192" s="2">
        <f t="shared" si="18"/>
        <v>-6.7000996971075019E-2</v>
      </c>
      <c r="F192" s="2">
        <v>6.5952868458914512E-3</v>
      </c>
      <c r="G192" s="2">
        <f t="shared" si="19"/>
        <v>-7.1096012308558328E-3</v>
      </c>
      <c r="H192" s="2">
        <v>-7.4709641109258484E-3</v>
      </c>
      <c r="I192" s="2">
        <f t="shared" si="20"/>
        <v>-2.1175852187673132E-2</v>
      </c>
      <c r="J192">
        <v>-4.6127033112553601E-4</v>
      </c>
      <c r="K192" s="27">
        <f t="shared" si="21"/>
        <v>-1.416615840787282E-2</v>
      </c>
      <c r="L192" s="27">
        <f t="shared" si="22"/>
        <v>-1.2429318273593662E-2</v>
      </c>
      <c r="M192" s="2">
        <v>9.0759075907591753E-3</v>
      </c>
      <c r="N192" s="27">
        <f t="shared" si="23"/>
        <v>-4.6289804859881087E-3</v>
      </c>
      <c r="O192" s="2">
        <v>1.3906701623107835E-2</v>
      </c>
      <c r="P192" s="27">
        <f t="shared" si="24"/>
        <v>2.0181354636055089E-4</v>
      </c>
      <c r="Q192" s="2">
        <v>1.4374113296940506E-2</v>
      </c>
      <c r="R192" s="27">
        <f t="shared" si="25"/>
        <v>6.6922522019322202E-4</v>
      </c>
      <c r="S192" s="2">
        <v>1.156837269224425E-2</v>
      </c>
      <c r="T192" s="27">
        <f t="shared" si="26"/>
        <v>-2.1365153845030339E-3</v>
      </c>
    </row>
    <row r="193" spans="1:20">
      <c r="A193" s="1">
        <v>42961</v>
      </c>
      <c r="B193">
        <v>1.0043754738020664E-2</v>
      </c>
      <c r="C193" s="2">
        <v>2.1180712032447119E-2</v>
      </c>
      <c r="D193" s="2">
        <v>7.9763974229319357E-2</v>
      </c>
      <c r="E193" s="2">
        <f t="shared" si="18"/>
        <v>5.8583262196872238E-2</v>
      </c>
      <c r="F193" s="2">
        <v>1.4340592690683784E-2</v>
      </c>
      <c r="G193" s="2">
        <f t="shared" si="19"/>
        <v>-6.8401193417633351E-3</v>
      </c>
      <c r="H193" s="2">
        <v>1.3102896686024351E-2</v>
      </c>
      <c r="I193" s="2">
        <f t="shared" si="20"/>
        <v>-8.0778153464227676E-3</v>
      </c>
      <c r="J193">
        <v>1.9182623978562206E-2</v>
      </c>
      <c r="K193" s="27">
        <f t="shared" si="21"/>
        <v>-1.9980880538849125E-3</v>
      </c>
      <c r="L193" s="27">
        <f t="shared" si="22"/>
        <v>-1.1136957294426455E-2</v>
      </c>
      <c r="M193" s="2">
        <v>4.3336058871627094E-2</v>
      </c>
      <c r="N193" s="27">
        <f t="shared" si="23"/>
        <v>2.2155346839179975E-2</v>
      </c>
      <c r="O193" s="2">
        <v>1.5049532039482416E-2</v>
      </c>
      <c r="P193" s="27">
        <f t="shared" si="24"/>
        <v>-6.1311799929647023E-3</v>
      </c>
      <c r="Q193" s="2">
        <v>2.7603760213735586E-2</v>
      </c>
      <c r="R193" s="27">
        <f t="shared" si="25"/>
        <v>6.4230481812884675E-3</v>
      </c>
      <c r="S193" s="2">
        <v>1.5816277191048174E-2</v>
      </c>
      <c r="T193" s="27">
        <f t="shared" si="26"/>
        <v>-5.3644348413989448E-3</v>
      </c>
    </row>
    <row r="194" spans="1:20">
      <c r="A194" s="1">
        <v>42962</v>
      </c>
      <c r="B194">
        <v>-4.9880809626936054E-4</v>
      </c>
      <c r="C194" s="2">
        <v>-1.7652250661959416E-2</v>
      </c>
      <c r="D194" s="2">
        <v>-8.4322811238784177E-3</v>
      </c>
      <c r="E194" s="2">
        <f t="shared" si="18"/>
        <v>9.2199695380809979E-3</v>
      </c>
      <c r="F194" s="2">
        <v>-1.2188780890334794E-3</v>
      </c>
      <c r="G194" s="2">
        <f t="shared" si="19"/>
        <v>1.6433372572925938E-2</v>
      </c>
      <c r="H194" s="2">
        <v>-9.3561098194558778E-3</v>
      </c>
      <c r="I194" s="2">
        <f t="shared" si="20"/>
        <v>8.2961408425035379E-3</v>
      </c>
      <c r="J194">
        <v>2.0309158396551518E-2</v>
      </c>
      <c r="K194" s="27">
        <f t="shared" si="21"/>
        <v>3.7961409058510934E-2</v>
      </c>
      <c r="L194" s="27">
        <f t="shared" si="22"/>
        <v>1.7153442565690055E-2</v>
      </c>
      <c r="M194" s="2">
        <v>2.0376175548589327E-2</v>
      </c>
      <c r="N194" s="27">
        <f t="shared" si="23"/>
        <v>3.8028426210548742E-2</v>
      </c>
      <c r="O194" s="2">
        <v>1.0947747646841604E-2</v>
      </c>
      <c r="P194" s="27">
        <f t="shared" si="24"/>
        <v>2.8599998308801021E-2</v>
      </c>
      <c r="Q194" s="2">
        <v>1.1079643970060489E-2</v>
      </c>
      <c r="R194" s="27">
        <f t="shared" si="25"/>
        <v>2.8731894632019903E-2</v>
      </c>
      <c r="S194" s="2">
        <v>-5.6950880385849294E-4</v>
      </c>
      <c r="T194" s="27">
        <f t="shared" si="26"/>
        <v>1.7082741858100922E-2</v>
      </c>
    </row>
    <row r="195" spans="1:20">
      <c r="A195" s="1">
        <v>42963</v>
      </c>
      <c r="B195">
        <v>1.4201029160999055E-3</v>
      </c>
      <c r="C195" s="2">
        <v>-1.2129380053908416E-2</v>
      </c>
      <c r="D195" s="2">
        <v>-1.0959454901983865E-2</v>
      </c>
      <c r="E195" s="2">
        <f t="shared" ref="E195:E251" si="27">D195-C195</f>
        <v>1.1699251519245515E-3</v>
      </c>
      <c r="F195" s="2">
        <v>6.2233326336225562E-3</v>
      </c>
      <c r="G195" s="2">
        <f t="shared" ref="G195:G251" si="28">F195-C195</f>
        <v>1.8352712687530973E-2</v>
      </c>
      <c r="H195" s="2">
        <v>-5.2777873558096195E-3</v>
      </c>
      <c r="I195" s="2">
        <f t="shared" ref="I195:I251" si="29">H195-C195</f>
        <v>6.8515926980987968E-3</v>
      </c>
      <c r="J195">
        <v>1.1093502377179081E-2</v>
      </c>
      <c r="K195" s="27">
        <f t="shared" ref="K195:K251" si="30">J195-C195</f>
        <v>2.3222882431087499E-2</v>
      </c>
      <c r="L195" s="27">
        <f t="shared" ref="L195:L251" si="31">(B195-C195)</f>
        <v>1.3549482970008322E-2</v>
      </c>
      <c r="M195" s="2">
        <v>-2.9953917050691153E-2</v>
      </c>
      <c r="N195" s="27">
        <f t="shared" ref="N195:N251" si="32">M195-C195</f>
        <v>-1.7824536996782735E-2</v>
      </c>
      <c r="O195" s="2">
        <v>-4.0222977169292271E-3</v>
      </c>
      <c r="P195" s="27">
        <f t="shared" ref="P195:P251" si="33">O195-C195</f>
        <v>8.1070823369791892E-3</v>
      </c>
      <c r="Q195" s="2">
        <v>-1.0643076401250606E-3</v>
      </c>
      <c r="R195" s="27">
        <f t="shared" ref="R195:R251" si="34">Q195-C195</f>
        <v>1.1065072413783355E-2</v>
      </c>
      <c r="S195" s="2">
        <v>-4.6400849119817202E-3</v>
      </c>
      <c r="T195" s="27">
        <f t="shared" ref="T195:T251" si="35">S195-C195</f>
        <v>7.4892951419266961E-3</v>
      </c>
    </row>
    <row r="196" spans="1:20">
      <c r="A196" s="1">
        <v>42964</v>
      </c>
      <c r="B196">
        <v>-1.5436951897705593E-2</v>
      </c>
      <c r="C196" s="2">
        <v>-2.2737608003637532E-3</v>
      </c>
      <c r="D196" s="2">
        <v>-2.2282654165367431E-2</v>
      </c>
      <c r="E196" s="2">
        <f t="shared" si="27"/>
        <v>-2.0008893365003676E-2</v>
      </c>
      <c r="F196" s="2">
        <v>-2.8013585492554512E-2</v>
      </c>
      <c r="G196" s="2">
        <f t="shared" si="28"/>
        <v>-2.5739824692190758E-2</v>
      </c>
      <c r="H196" s="2">
        <v>-1.7872114672328254E-2</v>
      </c>
      <c r="I196" s="2">
        <f t="shared" si="29"/>
        <v>-1.5598353871964499E-2</v>
      </c>
      <c r="J196">
        <v>2.7711586206896503E-2</v>
      </c>
      <c r="K196" s="27">
        <f t="shared" si="30"/>
        <v>2.9985347007260257E-2</v>
      </c>
      <c r="L196" s="27">
        <f t="shared" si="31"/>
        <v>-1.3163191097341841E-2</v>
      </c>
      <c r="M196" s="2">
        <v>-2.2961203483768875E-2</v>
      </c>
      <c r="N196" s="27">
        <f t="shared" si="32"/>
        <v>-2.0687442683405121E-2</v>
      </c>
      <c r="O196" s="2">
        <v>-1.9198524065145436E-2</v>
      </c>
      <c r="P196" s="27">
        <f t="shared" si="33"/>
        <v>-1.6924763264781682E-2</v>
      </c>
      <c r="Q196" s="2">
        <v>-2.5530699508716507E-2</v>
      </c>
      <c r="R196" s="27">
        <f t="shared" si="34"/>
        <v>-2.3256938708352753E-2</v>
      </c>
      <c r="S196" s="2">
        <v>-1.8002807383119251E-2</v>
      </c>
      <c r="T196" s="27">
        <f t="shared" si="35"/>
        <v>-1.5729046582755497E-2</v>
      </c>
    </row>
    <row r="197" spans="1:20">
      <c r="A197" s="1">
        <v>42965</v>
      </c>
      <c r="B197">
        <v>-1.8353673366143957E-3</v>
      </c>
      <c r="C197" s="2">
        <v>-6.3810391978121198E-3</v>
      </c>
      <c r="D197" s="2">
        <v>1.8576443767620511E-4</v>
      </c>
      <c r="E197" s="2">
        <f t="shared" si="27"/>
        <v>6.5668036354883247E-3</v>
      </c>
      <c r="F197" s="2">
        <v>-2.2457843499311429E-3</v>
      </c>
      <c r="G197" s="2">
        <f t="shared" si="28"/>
        <v>4.1352548478809769E-3</v>
      </c>
      <c r="H197" s="2">
        <v>-4.549349204067011E-3</v>
      </c>
      <c r="I197" s="2">
        <f t="shared" si="29"/>
        <v>1.8316899937451088E-3</v>
      </c>
      <c r="J197">
        <v>2.1839934380672745E-2</v>
      </c>
      <c r="K197" s="27">
        <f t="shared" si="30"/>
        <v>2.8220973578484864E-2</v>
      </c>
      <c r="L197" s="27">
        <f t="shared" si="31"/>
        <v>4.5456718611977236E-3</v>
      </c>
      <c r="M197" s="2">
        <v>2.4311183144245835E-3</v>
      </c>
      <c r="N197" s="27">
        <f t="shared" si="32"/>
        <v>8.8121575122367037E-3</v>
      </c>
      <c r="O197" s="2">
        <v>-2.2804542357288417E-3</v>
      </c>
      <c r="P197" s="27">
        <f t="shared" si="33"/>
        <v>4.1005849620832785E-3</v>
      </c>
      <c r="Q197" s="2">
        <v>9.7995257925017967E-3</v>
      </c>
      <c r="R197" s="27">
        <f t="shared" si="34"/>
        <v>1.6180564990313916E-2</v>
      </c>
      <c r="S197" s="2">
        <v>-2.1862394044123486E-3</v>
      </c>
      <c r="T197" s="27">
        <f t="shared" si="35"/>
        <v>4.1947997933997712E-3</v>
      </c>
    </row>
    <row r="198" spans="1:20">
      <c r="A198" s="1">
        <v>42968</v>
      </c>
      <c r="B198">
        <v>1.1626509216590452E-3</v>
      </c>
      <c r="C198" s="2">
        <v>1.6055045871559492E-2</v>
      </c>
      <c r="D198" s="2">
        <v>-1.4551164854043392E-2</v>
      </c>
      <c r="E198" s="2">
        <f t="shared" si="27"/>
        <v>-3.0606210725602885E-2</v>
      </c>
      <c r="F198" s="2">
        <v>-1.0003716014725277E-3</v>
      </c>
      <c r="G198" s="2">
        <f t="shared" si="28"/>
        <v>-1.705541747303202E-2</v>
      </c>
      <c r="H198" s="2">
        <v>-2.5707003657220971E-3</v>
      </c>
      <c r="I198" s="2">
        <f t="shared" si="29"/>
        <v>-1.8625746237281589E-2</v>
      </c>
      <c r="J198">
        <v>1.0447761194029851E-2</v>
      </c>
      <c r="K198" s="27">
        <f t="shared" si="30"/>
        <v>-5.6072846775296406E-3</v>
      </c>
      <c r="L198" s="27">
        <f t="shared" si="31"/>
        <v>-1.4892394949900446E-2</v>
      </c>
      <c r="M198" s="2">
        <v>-2.5869037995149436E-2</v>
      </c>
      <c r="N198" s="27">
        <f t="shared" si="32"/>
        <v>-4.1924083866708928E-2</v>
      </c>
      <c r="O198" s="2">
        <v>-1.8412365558032782E-3</v>
      </c>
      <c r="P198" s="27">
        <f t="shared" si="33"/>
        <v>-1.789628242736277E-2</v>
      </c>
      <c r="Q198" s="2">
        <v>1.0025093253987856E-3</v>
      </c>
      <c r="R198" s="27">
        <f t="shared" si="34"/>
        <v>-1.5052536546160705E-2</v>
      </c>
      <c r="S198" s="2">
        <v>-5.4044395304273622E-3</v>
      </c>
      <c r="T198" s="27">
        <f t="shared" si="35"/>
        <v>-2.1459485401986854E-2</v>
      </c>
    </row>
    <row r="199" spans="1:20">
      <c r="A199" s="1">
        <v>42969</v>
      </c>
      <c r="B199">
        <v>9.9407799622498929E-3</v>
      </c>
      <c r="C199" s="2">
        <v>-1.9864559819413111E-2</v>
      </c>
      <c r="D199" s="2">
        <v>2.2262801781737056E-2</v>
      </c>
      <c r="E199" s="2">
        <f t="shared" si="27"/>
        <v>4.2127361601150166E-2</v>
      </c>
      <c r="F199" s="2">
        <v>1.0764785524815726E-2</v>
      </c>
      <c r="G199" s="2">
        <f t="shared" si="28"/>
        <v>3.0629345344228835E-2</v>
      </c>
      <c r="H199" s="2">
        <v>-7.7318624686817973E-3</v>
      </c>
      <c r="I199" s="2">
        <f t="shared" si="29"/>
        <v>1.2132697350731313E-2</v>
      </c>
      <c r="J199">
        <v>3.0782906942392853E-2</v>
      </c>
      <c r="K199" s="27">
        <f t="shared" si="30"/>
        <v>5.0647466761805968E-2</v>
      </c>
      <c r="L199" s="27">
        <f t="shared" si="31"/>
        <v>2.9805339781663005E-2</v>
      </c>
      <c r="M199" s="2">
        <v>9.9585062240663252E-3</v>
      </c>
      <c r="N199" s="27">
        <f t="shared" si="32"/>
        <v>2.9823066043479438E-2</v>
      </c>
      <c r="O199" s="2">
        <v>1.6347539023135703E-2</v>
      </c>
      <c r="P199" s="27">
        <f t="shared" si="33"/>
        <v>3.6212098842548814E-2</v>
      </c>
      <c r="Q199" s="2">
        <v>2.2313953197211026E-2</v>
      </c>
      <c r="R199" s="27">
        <f t="shared" si="34"/>
        <v>4.2178513016624133E-2</v>
      </c>
      <c r="S199" s="2">
        <v>1.4276921308408018E-2</v>
      </c>
      <c r="T199" s="27">
        <f t="shared" si="35"/>
        <v>3.414148112782113E-2</v>
      </c>
    </row>
    <row r="200" spans="1:20">
      <c r="A200" s="1">
        <v>42970</v>
      </c>
      <c r="B200">
        <v>-3.4535928356924368E-3</v>
      </c>
      <c r="C200" s="2">
        <v>1.05941962229388E-2</v>
      </c>
      <c r="D200" s="2">
        <v>1.9993847677751198E-2</v>
      </c>
      <c r="E200" s="2">
        <f t="shared" si="27"/>
        <v>9.399651454812398E-3</v>
      </c>
      <c r="F200" s="2">
        <v>1.7337119755868979E-3</v>
      </c>
      <c r="G200" s="2">
        <f t="shared" si="28"/>
        <v>-8.8604842473519012E-3</v>
      </c>
      <c r="H200" s="2">
        <v>2.8862677263259733E-4</v>
      </c>
      <c r="I200" s="2">
        <f t="shared" si="29"/>
        <v>-1.0305569450306203E-2</v>
      </c>
      <c r="J200">
        <v>7.680820510342027E-3</v>
      </c>
      <c r="K200" s="27">
        <f t="shared" si="30"/>
        <v>-2.9133757125967726E-3</v>
      </c>
      <c r="L200" s="27">
        <f t="shared" si="31"/>
        <v>-1.4047789058631237E-2</v>
      </c>
      <c r="M200" s="2">
        <v>2.5472473294987717E-2</v>
      </c>
      <c r="N200" s="27">
        <f t="shared" si="32"/>
        <v>1.4878277072048918E-2</v>
      </c>
      <c r="O200" s="2">
        <v>1.2516984734252472E-3</v>
      </c>
      <c r="P200" s="27">
        <f t="shared" si="33"/>
        <v>-9.3424977495135519E-3</v>
      </c>
      <c r="Q200" s="2">
        <v>6.7793369604354312E-3</v>
      </c>
      <c r="R200" s="27">
        <f t="shared" si="34"/>
        <v>-3.8148592625033683E-3</v>
      </c>
      <c r="S200" s="2">
        <v>-9.2046993268044743E-3</v>
      </c>
      <c r="T200" s="27">
        <f t="shared" si="35"/>
        <v>-1.9798895549743276E-2</v>
      </c>
    </row>
    <row r="201" spans="1:20">
      <c r="A201" s="1">
        <v>42971</v>
      </c>
      <c r="B201">
        <v>-2.0744619233302145E-3</v>
      </c>
      <c r="C201" s="2">
        <v>-1.1394712853236058E-2</v>
      </c>
      <c r="D201" s="2">
        <v>-3.6791374485078332E-3</v>
      </c>
      <c r="E201" s="2">
        <f t="shared" si="27"/>
        <v>7.7155754047282246E-3</v>
      </c>
      <c r="F201" s="2">
        <v>4.4505038829062843E-3</v>
      </c>
      <c r="G201" s="2">
        <f t="shared" si="28"/>
        <v>1.5845216736142344E-2</v>
      </c>
      <c r="H201" s="2">
        <v>1.4424562521545639E-3</v>
      </c>
      <c r="I201" s="2">
        <f t="shared" si="29"/>
        <v>1.2837169105390622E-2</v>
      </c>
      <c r="J201">
        <v>-4.5506426982256862E-3</v>
      </c>
      <c r="K201" s="27">
        <f t="shared" si="30"/>
        <v>6.8440701550103716E-3</v>
      </c>
      <c r="L201" s="27">
        <f t="shared" si="31"/>
        <v>9.3202509299058437E-3</v>
      </c>
      <c r="M201" s="2">
        <v>1.6025641025640682E-3</v>
      </c>
      <c r="N201" s="27">
        <f t="shared" si="32"/>
        <v>1.2997276955800125E-2</v>
      </c>
      <c r="O201" s="2">
        <v>-4.4380686734415455E-3</v>
      </c>
      <c r="P201" s="27">
        <f t="shared" si="33"/>
        <v>6.9566441797945123E-3</v>
      </c>
      <c r="Q201" s="2">
        <v>-7.2786230277233103E-3</v>
      </c>
      <c r="R201" s="27">
        <f t="shared" si="34"/>
        <v>4.1160898255127474E-3</v>
      </c>
      <c r="S201" s="2">
        <v>-5.7933068893528021E-3</v>
      </c>
      <c r="T201" s="27">
        <f t="shared" si="35"/>
        <v>5.6014059638832556E-3</v>
      </c>
    </row>
    <row r="202" spans="1:20">
      <c r="A202" s="1">
        <v>42972</v>
      </c>
      <c r="B202">
        <v>1.6728693048758973E-3</v>
      </c>
      <c r="C202" s="2">
        <v>-4.6104195481789911E-3</v>
      </c>
      <c r="D202" s="2">
        <v>-8.3540407003565836E-3</v>
      </c>
      <c r="E202" s="2">
        <f t="shared" si="27"/>
        <v>-3.7436211521775925E-3</v>
      </c>
      <c r="F202" s="2">
        <v>-3.3230389481022286E-3</v>
      </c>
      <c r="G202" s="2">
        <f t="shared" si="28"/>
        <v>1.2873806000767624E-3</v>
      </c>
      <c r="H202" s="2">
        <v>-1.1523955940721945E-3</v>
      </c>
      <c r="I202" s="2">
        <f t="shared" si="29"/>
        <v>3.4580239541067963E-3</v>
      </c>
      <c r="J202">
        <v>-1.8628542857142879E-2</v>
      </c>
      <c r="K202" s="27">
        <f t="shared" si="30"/>
        <v>-1.4018123308963888E-2</v>
      </c>
      <c r="L202" s="27">
        <f t="shared" si="31"/>
        <v>6.2832888530548886E-3</v>
      </c>
      <c r="M202" s="2">
        <v>-5.6000000000000225E-3</v>
      </c>
      <c r="N202" s="27">
        <f t="shared" si="32"/>
        <v>-9.8958045182103143E-4</v>
      </c>
      <c r="O202" s="2">
        <v>3.7044289738216952E-3</v>
      </c>
      <c r="P202" s="27">
        <f t="shared" si="33"/>
        <v>8.3148485220006854E-3</v>
      </c>
      <c r="Q202" s="2">
        <v>-3.7090791492877556E-2</v>
      </c>
      <c r="R202" s="27">
        <f t="shared" si="34"/>
        <v>-3.2480371944698563E-2</v>
      </c>
      <c r="S202" s="2">
        <v>-7.5489547056670613E-3</v>
      </c>
      <c r="T202" s="27">
        <f t="shared" si="35"/>
        <v>-2.9385351574880703E-3</v>
      </c>
    </row>
    <row r="203" spans="1:20">
      <c r="A203" s="1">
        <v>42975</v>
      </c>
      <c r="B203">
        <v>4.8707188806351378E-4</v>
      </c>
      <c r="C203" s="2">
        <v>-1.0653080129689527E-2</v>
      </c>
      <c r="D203" s="2">
        <v>7.0813931638042567E-3</v>
      </c>
      <c r="E203" s="2">
        <f t="shared" si="27"/>
        <v>1.7734473293493785E-2</v>
      </c>
      <c r="F203" s="2">
        <v>-2.7166825845506845E-3</v>
      </c>
      <c r="G203" s="2">
        <f t="shared" si="28"/>
        <v>7.9363975451388416E-3</v>
      </c>
      <c r="H203" s="2">
        <v>-5.767755279820413E-4</v>
      </c>
      <c r="I203" s="2">
        <f t="shared" si="29"/>
        <v>1.0076304601707485E-2</v>
      </c>
      <c r="J203">
        <v>-2.0030289390057913E-2</v>
      </c>
      <c r="K203" s="27">
        <f t="shared" si="30"/>
        <v>-9.3772092603683858E-3</v>
      </c>
      <c r="L203" s="27">
        <f t="shared" si="31"/>
        <v>1.1140152017753041E-2</v>
      </c>
      <c r="M203" s="2">
        <v>-1.6090104585679749E-2</v>
      </c>
      <c r="N203" s="27">
        <f t="shared" si="32"/>
        <v>-5.4370244559902216E-3</v>
      </c>
      <c r="O203" s="2">
        <v>1.0071312364574921E-2</v>
      </c>
      <c r="P203" s="27">
        <f t="shared" si="33"/>
        <v>2.072439249426445E-2</v>
      </c>
      <c r="Q203" s="2">
        <v>-9.5280154318870616E-3</v>
      </c>
      <c r="R203" s="27">
        <f t="shared" si="34"/>
        <v>1.1250646978024654E-3</v>
      </c>
      <c r="S203" s="2">
        <v>8.0402216528770675E-4</v>
      </c>
      <c r="T203" s="27">
        <f t="shared" si="35"/>
        <v>1.1457102294977234E-2</v>
      </c>
    </row>
    <row r="204" spans="1:20">
      <c r="A204" s="1">
        <v>42976</v>
      </c>
      <c r="B204">
        <v>8.4282190309794831E-4</v>
      </c>
      <c r="C204" s="2">
        <v>3.2771535580522811E-3</v>
      </c>
      <c r="D204" s="2">
        <v>-1.636685448040945E-3</v>
      </c>
      <c r="E204" s="2">
        <f t="shared" si="27"/>
        <v>-4.9138390060932263E-3</v>
      </c>
      <c r="F204" s="2">
        <v>3.3432007685522355E-3</v>
      </c>
      <c r="G204" s="2">
        <f t="shared" si="28"/>
        <v>6.604721049995434E-5</v>
      </c>
      <c r="H204" s="2">
        <v>2.3086948394304332E-3</v>
      </c>
      <c r="I204" s="2">
        <f t="shared" si="29"/>
        <v>-9.6845871862184796E-4</v>
      </c>
      <c r="J204">
        <v>-5.288169840377349E-3</v>
      </c>
      <c r="K204" s="27">
        <f t="shared" si="30"/>
        <v>-8.5653233984296293E-3</v>
      </c>
      <c r="L204" s="27">
        <f t="shared" si="31"/>
        <v>-2.4343316549543326E-3</v>
      </c>
      <c r="M204" s="2">
        <v>-6.5412919051512728E-3</v>
      </c>
      <c r="N204" s="27">
        <f t="shared" si="32"/>
        <v>-9.8184454632035539E-3</v>
      </c>
      <c r="O204" s="2">
        <v>8.918084277815392E-3</v>
      </c>
      <c r="P204" s="27">
        <f t="shared" si="33"/>
        <v>5.6409307197631108E-3</v>
      </c>
      <c r="Q204" s="2">
        <v>-6.2487688832464482E-3</v>
      </c>
      <c r="R204" s="27">
        <f t="shared" si="34"/>
        <v>-9.5259224412987294E-3</v>
      </c>
      <c r="S204" s="2">
        <v>8.498739804681835E-3</v>
      </c>
      <c r="T204" s="27">
        <f t="shared" si="35"/>
        <v>5.2215862466295539E-3</v>
      </c>
    </row>
    <row r="205" spans="1:20">
      <c r="A205" s="1">
        <v>42977</v>
      </c>
      <c r="B205">
        <v>4.6151489080888206E-3</v>
      </c>
      <c r="C205" s="2">
        <v>-1.0265982267848717E-2</v>
      </c>
      <c r="D205" s="2">
        <v>5.9501883293901934E-3</v>
      </c>
      <c r="E205" s="2">
        <f t="shared" si="27"/>
        <v>1.621617059723891E-2</v>
      </c>
      <c r="F205" s="2">
        <v>1.5796599807349623E-2</v>
      </c>
      <c r="G205" s="2">
        <f t="shared" si="28"/>
        <v>2.6062582075198341E-2</v>
      </c>
      <c r="H205" s="2">
        <v>4.6069858029716242E-3</v>
      </c>
      <c r="I205" s="2">
        <f t="shared" si="29"/>
        <v>1.4872968070820341E-2</v>
      </c>
      <c r="J205">
        <v>2.2937673426015891E-2</v>
      </c>
      <c r="K205" s="27">
        <f t="shared" si="30"/>
        <v>3.320365569386461E-2</v>
      </c>
      <c r="L205" s="27">
        <f t="shared" si="31"/>
        <v>1.4881131175937538E-2</v>
      </c>
      <c r="M205" s="2">
        <v>4.2798353909464987E-2</v>
      </c>
      <c r="N205" s="27">
        <f t="shared" si="32"/>
        <v>5.3064336177313702E-2</v>
      </c>
      <c r="O205" s="2">
        <v>2.7009213075808213E-3</v>
      </c>
      <c r="P205" s="27">
        <f t="shared" si="33"/>
        <v>1.2966903575429539E-2</v>
      </c>
      <c r="Q205" s="2">
        <v>1.774714787971781E-2</v>
      </c>
      <c r="R205" s="27">
        <f t="shared" si="34"/>
        <v>2.8013130147566526E-2</v>
      </c>
      <c r="S205" s="2">
        <v>1.4181528445132456E-2</v>
      </c>
      <c r="T205" s="27">
        <f t="shared" si="35"/>
        <v>2.4447510712981173E-2</v>
      </c>
    </row>
    <row r="206" spans="1:20">
      <c r="A206" s="1">
        <v>42978</v>
      </c>
      <c r="B206">
        <v>5.7209760360980863E-3</v>
      </c>
      <c r="C206" s="2">
        <v>1.6973125884016987E-2</v>
      </c>
      <c r="D206" s="2">
        <v>2.2694405835712445E-2</v>
      </c>
      <c r="E206" s="2">
        <f t="shared" si="27"/>
        <v>5.7212799516954578E-3</v>
      </c>
      <c r="F206" s="2">
        <v>6.1961134924917267E-3</v>
      </c>
      <c r="G206" s="2">
        <f t="shared" si="28"/>
        <v>-1.0777012391525259E-2</v>
      </c>
      <c r="H206" s="2">
        <v>5.1590839607325266E-3</v>
      </c>
      <c r="I206" s="2">
        <f t="shared" si="29"/>
        <v>-1.181404192328446E-2</v>
      </c>
      <c r="J206">
        <v>2.86134306569341E-3</v>
      </c>
      <c r="K206" s="27">
        <f t="shared" si="30"/>
        <v>-1.4111782818323577E-2</v>
      </c>
      <c r="L206" s="27">
        <f t="shared" si="31"/>
        <v>-1.1252149847918901E-2</v>
      </c>
      <c r="M206" s="2">
        <v>2.6045777426992902E-2</v>
      </c>
      <c r="N206" s="27">
        <f t="shared" si="32"/>
        <v>9.0726515429759153E-3</v>
      </c>
      <c r="O206" s="2">
        <v>3.9791074602310243E-3</v>
      </c>
      <c r="P206" s="27">
        <f t="shared" si="33"/>
        <v>-1.2994018423785962E-2</v>
      </c>
      <c r="Q206" s="2">
        <v>2.4591515655996633E-2</v>
      </c>
      <c r="R206" s="27">
        <f t="shared" si="34"/>
        <v>7.6183897719796466E-3</v>
      </c>
      <c r="S206" s="2">
        <v>1.3445724570288493E-2</v>
      </c>
      <c r="T206" s="27">
        <f t="shared" si="35"/>
        <v>-3.527401313728494E-3</v>
      </c>
    </row>
    <row r="207" spans="1:20">
      <c r="A207" s="1">
        <v>42979</v>
      </c>
      <c r="B207">
        <v>1.9825408914242878E-3</v>
      </c>
      <c r="C207" s="2">
        <v>-4.0333796940194802E-2</v>
      </c>
      <c r="D207" s="2">
        <v>6.0198594662433822E-3</v>
      </c>
      <c r="E207" s="2">
        <f t="shared" si="27"/>
        <v>4.6353656406438182E-2</v>
      </c>
      <c r="F207" s="2">
        <v>-3.3808442601984492E-3</v>
      </c>
      <c r="G207" s="2">
        <f t="shared" si="28"/>
        <v>3.6952952679996355E-2</v>
      </c>
      <c r="H207" s="2">
        <v>5.7028300631225507E-4</v>
      </c>
      <c r="I207" s="2">
        <f t="shared" si="29"/>
        <v>4.0904079946507056E-2</v>
      </c>
      <c r="J207">
        <v>-4.0759984838709346E-3</v>
      </c>
      <c r="K207" s="27">
        <f t="shared" si="30"/>
        <v>3.6257798456323868E-2</v>
      </c>
      <c r="L207" s="27">
        <f t="shared" si="31"/>
        <v>4.2316337831619089E-2</v>
      </c>
      <c r="M207" s="2">
        <v>1.4615384615384577E-2</v>
      </c>
      <c r="N207" s="27">
        <f t="shared" si="32"/>
        <v>5.4949181555579381E-2</v>
      </c>
      <c r="O207" s="2">
        <v>3.048725412475209E-4</v>
      </c>
      <c r="P207" s="27">
        <f t="shared" si="33"/>
        <v>4.0638669481442326E-2</v>
      </c>
      <c r="Q207" s="2">
        <v>2.618220166285446E-3</v>
      </c>
      <c r="R207" s="27">
        <f t="shared" si="34"/>
        <v>4.295201710648025E-2</v>
      </c>
      <c r="S207" s="2">
        <v>-2.3964675275496535E-3</v>
      </c>
      <c r="T207" s="27">
        <f t="shared" si="35"/>
        <v>3.7937329412645146E-2</v>
      </c>
    </row>
    <row r="208" spans="1:20">
      <c r="A208" s="1">
        <v>42983</v>
      </c>
      <c r="B208">
        <v>-7.5508068199755798E-3</v>
      </c>
      <c r="C208" s="2">
        <v>1.8357487922705439E-2</v>
      </c>
      <c r="D208" s="2">
        <v>-2.6692495677299862E-2</v>
      </c>
      <c r="E208" s="2">
        <f t="shared" si="27"/>
        <v>-4.5049983600005297E-2</v>
      </c>
      <c r="F208" s="2">
        <v>-8.3596161873987721E-3</v>
      </c>
      <c r="G208" s="2">
        <f t="shared" si="28"/>
        <v>-2.6717104110104209E-2</v>
      </c>
      <c r="H208" s="2">
        <v>-1.9947668902867022E-3</v>
      </c>
      <c r="I208" s="2">
        <f t="shared" si="29"/>
        <v>-2.0352254812992139E-2</v>
      </c>
      <c r="J208">
        <v>-6.5481469003569074E-3</v>
      </c>
      <c r="K208" s="27">
        <f t="shared" si="30"/>
        <v>-2.4905634823062347E-2</v>
      </c>
      <c r="L208" s="27">
        <f t="shared" si="31"/>
        <v>-2.5908294742681019E-2</v>
      </c>
      <c r="M208" s="2">
        <v>-2.0470053070507928E-2</v>
      </c>
      <c r="N208" s="27">
        <f t="shared" si="32"/>
        <v>-3.8827540993213366E-2</v>
      </c>
      <c r="O208" s="2">
        <v>-1.2008494529860258E-2</v>
      </c>
      <c r="P208" s="27">
        <f t="shared" si="33"/>
        <v>-3.0365982452565696E-2</v>
      </c>
      <c r="Q208" s="2">
        <v>-1.4560956784970241E-2</v>
      </c>
      <c r="R208" s="27">
        <f t="shared" si="34"/>
        <v>-3.291844470767568E-2</v>
      </c>
      <c r="S208" s="2">
        <v>-1.3268571428571383E-2</v>
      </c>
      <c r="T208" s="27">
        <f t="shared" si="35"/>
        <v>-3.1626059351276825E-2</v>
      </c>
    </row>
    <row r="209" spans="1:20">
      <c r="A209" s="1">
        <v>42984</v>
      </c>
      <c r="B209">
        <v>3.1287266079642298E-3</v>
      </c>
      <c r="C209" s="2">
        <v>-2.2296015180265725E-2</v>
      </c>
      <c r="D209" s="2">
        <v>-6.0277257301482061E-4</v>
      </c>
      <c r="E209" s="2">
        <f t="shared" si="27"/>
        <v>2.1693242607250904E-2</v>
      </c>
      <c r="F209" s="2">
        <v>2.6878926142359168E-3</v>
      </c>
      <c r="G209" s="2">
        <f t="shared" si="28"/>
        <v>2.4983907794501641E-2</v>
      </c>
      <c r="H209" s="2">
        <v>2.1130710361355016E-2</v>
      </c>
      <c r="I209" s="2">
        <f t="shared" si="29"/>
        <v>4.3426725541620741E-2</v>
      </c>
      <c r="J209">
        <v>-1.0475512128949082E-2</v>
      </c>
      <c r="K209" s="27">
        <f t="shared" si="30"/>
        <v>1.1820503051316643E-2</v>
      </c>
      <c r="L209" s="27">
        <f t="shared" si="31"/>
        <v>2.5424741788229954E-2</v>
      </c>
      <c r="M209" s="2">
        <v>-4.6439628482972525E-3</v>
      </c>
      <c r="N209" s="27">
        <f t="shared" si="32"/>
        <v>1.7652052331968471E-2</v>
      </c>
      <c r="O209" s="2">
        <v>-1.0488395826276445E-3</v>
      </c>
      <c r="P209" s="27">
        <f t="shared" si="33"/>
        <v>2.1247175597638081E-2</v>
      </c>
      <c r="Q209" s="2">
        <v>1.3250450130037426E-3</v>
      </c>
      <c r="R209" s="27">
        <f t="shared" si="34"/>
        <v>2.3621060193269469E-2</v>
      </c>
      <c r="S209" s="2">
        <v>2.6209951076693956E-3</v>
      </c>
      <c r="T209" s="27">
        <f t="shared" si="35"/>
        <v>2.491701028793512E-2</v>
      </c>
    </row>
    <row r="210" spans="1:20">
      <c r="A210" s="1">
        <v>42985</v>
      </c>
      <c r="B210">
        <v>-1.784359584679573E-4</v>
      </c>
      <c r="C210" s="2">
        <v>0</v>
      </c>
      <c r="D210" s="2">
        <v>4.6438936691863423E-3</v>
      </c>
      <c r="E210" s="2">
        <f t="shared" si="27"/>
        <v>4.6438936691863423E-3</v>
      </c>
      <c r="F210" s="2">
        <v>-8.5296878521502956E-4</v>
      </c>
      <c r="G210" s="2">
        <f t="shared" si="28"/>
        <v>-8.5296878521502956E-4</v>
      </c>
      <c r="H210" s="2">
        <v>-6.1521275451395996E-3</v>
      </c>
      <c r="I210" s="2">
        <f t="shared" si="29"/>
        <v>-6.1521275451395996E-3</v>
      </c>
      <c r="J210">
        <v>1.391695619077535E-2</v>
      </c>
      <c r="K210" s="27">
        <f t="shared" si="30"/>
        <v>1.391695619077535E-2</v>
      </c>
      <c r="L210" s="27">
        <f t="shared" si="31"/>
        <v>-1.784359584679573E-4</v>
      </c>
      <c r="M210" s="2">
        <v>-1.7884914463452462E-2</v>
      </c>
      <c r="N210" s="27">
        <f t="shared" si="32"/>
        <v>-1.7884914463452462E-2</v>
      </c>
      <c r="O210" s="2">
        <v>-4.0146891916874126E-3</v>
      </c>
      <c r="P210" s="27">
        <f t="shared" si="33"/>
        <v>-4.0146891916874126E-3</v>
      </c>
      <c r="Q210" s="2">
        <v>-1.1348151761352294E-2</v>
      </c>
      <c r="R210" s="27">
        <f t="shared" si="34"/>
        <v>-1.1348151761352294E-2</v>
      </c>
      <c r="S210" s="2">
        <v>1.205825908731051E-2</v>
      </c>
      <c r="T210" s="27">
        <f t="shared" si="35"/>
        <v>1.205825908731051E-2</v>
      </c>
    </row>
    <row r="211" spans="1:20">
      <c r="A211" s="1">
        <v>42986</v>
      </c>
      <c r="B211">
        <v>-1.4888506973723228E-3</v>
      </c>
      <c r="C211" s="2">
        <v>3.1052886948083482E-2</v>
      </c>
      <c r="D211" s="2">
        <v>-1.7349021282878931E-2</v>
      </c>
      <c r="E211" s="2">
        <f t="shared" si="27"/>
        <v>-4.8401908230962409E-2</v>
      </c>
      <c r="F211" s="2">
        <v>-7.560982820990117E-3</v>
      </c>
      <c r="G211" s="2">
        <f t="shared" si="28"/>
        <v>-3.8613869769073599E-2</v>
      </c>
      <c r="H211" s="2">
        <v>-9.8480853324301263E-3</v>
      </c>
      <c r="I211" s="2">
        <f t="shared" si="29"/>
        <v>-4.0900972280513606E-2</v>
      </c>
      <c r="J211">
        <v>-8.6813469892385482E-3</v>
      </c>
      <c r="K211" s="27">
        <f t="shared" si="30"/>
        <v>-3.9734233937322033E-2</v>
      </c>
      <c r="L211" s="27">
        <f t="shared" si="31"/>
        <v>-3.2541737645455801E-2</v>
      </c>
      <c r="M211" s="2">
        <v>-3.0087094220110907E-2</v>
      </c>
      <c r="N211" s="27">
        <f t="shared" si="32"/>
        <v>-6.1139981168194385E-2</v>
      </c>
      <c r="O211" s="2">
        <v>-1.63089466237481E-2</v>
      </c>
      <c r="P211" s="27">
        <f t="shared" si="33"/>
        <v>-4.7361833571831581E-2</v>
      </c>
      <c r="Q211" s="2">
        <v>-9.8965824283715614E-3</v>
      </c>
      <c r="R211" s="27">
        <f t="shared" si="34"/>
        <v>-4.0949469376455043E-2</v>
      </c>
      <c r="S211" s="2">
        <v>-1.3854377777550013E-2</v>
      </c>
      <c r="T211" s="27">
        <f t="shared" si="35"/>
        <v>-4.4907264725633493E-2</v>
      </c>
    </row>
    <row r="212" spans="1:20">
      <c r="A212" s="1">
        <v>42989</v>
      </c>
      <c r="B212">
        <v>1.0839298999797799E-2</v>
      </c>
      <c r="C212" s="2">
        <v>2.1647058823529325E-2</v>
      </c>
      <c r="D212" s="2">
        <v>3.2439354481772244E-2</v>
      </c>
      <c r="E212" s="2">
        <f t="shared" si="27"/>
        <v>1.0792295658242919E-2</v>
      </c>
      <c r="F212" s="2">
        <v>1.0322003017888179E-2</v>
      </c>
      <c r="G212" s="2">
        <f t="shared" si="28"/>
        <v>-1.1325055805641146E-2</v>
      </c>
      <c r="H212" s="2">
        <v>1.6481982443600426E-2</v>
      </c>
      <c r="I212" s="2">
        <f t="shared" si="29"/>
        <v>-5.1650763799288985E-3</v>
      </c>
      <c r="J212">
        <v>2.9940816568047382E-2</v>
      </c>
      <c r="K212" s="27">
        <f t="shared" si="30"/>
        <v>8.2937577445180571E-3</v>
      </c>
      <c r="L212" s="27">
        <f t="shared" si="31"/>
        <v>-1.0807759823731526E-2</v>
      </c>
      <c r="M212" s="2">
        <v>2.4489795918367405E-2</v>
      </c>
      <c r="N212" s="27">
        <f t="shared" si="32"/>
        <v>2.8427370948380798E-3</v>
      </c>
      <c r="O212" s="2">
        <v>1.8092360305808845E-2</v>
      </c>
      <c r="P212" s="27">
        <f t="shared" si="33"/>
        <v>-3.5546985177204796E-3</v>
      </c>
      <c r="Q212" s="2">
        <v>1.4870394636086259E-2</v>
      </c>
      <c r="R212" s="27">
        <f t="shared" si="34"/>
        <v>-6.7766641874430662E-3</v>
      </c>
      <c r="S212" s="2">
        <v>1.2485762191056691E-2</v>
      </c>
      <c r="T212" s="27">
        <f t="shared" si="35"/>
        <v>-9.1612966324726344E-3</v>
      </c>
    </row>
    <row r="213" spans="1:20">
      <c r="A213" s="1">
        <v>42990</v>
      </c>
      <c r="B213">
        <v>3.3639479926762333E-3</v>
      </c>
      <c r="C213" s="2">
        <v>1.1054813450023042E-2</v>
      </c>
      <c r="D213" s="2">
        <v>3.6094733727811308E-3</v>
      </c>
      <c r="E213" s="2">
        <f t="shared" si="27"/>
        <v>-7.4453400772419107E-3</v>
      </c>
      <c r="F213" s="2">
        <v>8.1488016365218897E-3</v>
      </c>
      <c r="G213" s="2">
        <f t="shared" si="28"/>
        <v>-2.9060118135011519E-3</v>
      </c>
      <c r="H213" s="2">
        <v>8.9460500439420953E-3</v>
      </c>
      <c r="I213" s="2">
        <f t="shared" si="29"/>
        <v>-2.1087634060809463E-3</v>
      </c>
      <c r="J213">
        <v>7.1814317727385011E-3</v>
      </c>
      <c r="K213" s="27">
        <f t="shared" si="30"/>
        <v>-3.8733816772845405E-3</v>
      </c>
      <c r="L213" s="27">
        <f t="shared" si="31"/>
        <v>-7.6908654573468078E-3</v>
      </c>
      <c r="M213" s="2">
        <v>-1.9920318725099601E-2</v>
      </c>
      <c r="N213" s="27">
        <f t="shared" si="32"/>
        <v>-3.0975132175122641E-2</v>
      </c>
      <c r="O213" s="2">
        <v>-3.9628698734113657E-3</v>
      </c>
      <c r="P213" s="27">
        <f t="shared" si="33"/>
        <v>-1.5017683323434408E-2</v>
      </c>
      <c r="Q213" s="2">
        <v>-2.4219207243730344E-3</v>
      </c>
      <c r="R213" s="27">
        <f t="shared" si="34"/>
        <v>-1.3476734174396076E-2</v>
      </c>
      <c r="S213" s="2">
        <v>4.7241143769371965E-3</v>
      </c>
      <c r="T213" s="27">
        <f t="shared" si="35"/>
        <v>-6.3306990730858451E-3</v>
      </c>
    </row>
    <row r="214" spans="1:20">
      <c r="A214" s="1">
        <v>42991</v>
      </c>
      <c r="B214">
        <v>7.571208321886354E-4</v>
      </c>
      <c r="C214" s="2">
        <v>9.1116173120739136E-4</v>
      </c>
      <c r="D214" s="2">
        <v>4.4808324716652621E-3</v>
      </c>
      <c r="E214" s="2">
        <f t="shared" si="27"/>
        <v>3.5696707404578708E-3</v>
      </c>
      <c r="F214" s="2">
        <v>-2.2921728108164885E-3</v>
      </c>
      <c r="G214" s="2">
        <f t="shared" si="28"/>
        <v>-3.2033345420238797E-3</v>
      </c>
      <c r="H214" s="2">
        <v>6.6500667941676722E-3</v>
      </c>
      <c r="I214" s="2">
        <f t="shared" si="29"/>
        <v>5.738905062960281E-3</v>
      </c>
      <c r="J214">
        <v>2.0877320413864753E-2</v>
      </c>
      <c r="K214" s="27">
        <f t="shared" si="30"/>
        <v>1.9966158682657362E-2</v>
      </c>
      <c r="L214" s="27">
        <f t="shared" si="31"/>
        <v>-1.5404089901875596E-4</v>
      </c>
      <c r="M214" s="2">
        <v>-6.5040650406504117E-3</v>
      </c>
      <c r="N214" s="27">
        <f t="shared" si="32"/>
        <v>-7.415226771857803E-3</v>
      </c>
      <c r="O214" s="2">
        <v>-7.5221139943289234E-3</v>
      </c>
      <c r="P214" s="27">
        <f t="shared" si="33"/>
        <v>-8.4332757255363155E-3</v>
      </c>
      <c r="Q214" s="2">
        <v>-3.6416441180643516E-3</v>
      </c>
      <c r="R214" s="27">
        <f t="shared" si="34"/>
        <v>-4.5528058492717433E-3</v>
      </c>
      <c r="S214" s="2">
        <v>1.7321702767745147E-2</v>
      </c>
      <c r="T214" s="27">
        <f t="shared" si="35"/>
        <v>1.6410541036537756E-2</v>
      </c>
    </row>
    <row r="215" spans="1:20">
      <c r="A215" s="1">
        <v>42992</v>
      </c>
      <c r="B215">
        <v>-1.1007176163722904E-3</v>
      </c>
      <c r="C215" s="2">
        <v>2.2758306781974933E-3</v>
      </c>
      <c r="D215" s="2">
        <v>-5.6934966746931956E-3</v>
      </c>
      <c r="E215" s="2">
        <f t="shared" si="27"/>
        <v>-7.9693273528906889E-3</v>
      </c>
      <c r="F215" s="2">
        <v>7.134254329009518E-3</v>
      </c>
      <c r="G215" s="2">
        <f t="shared" si="28"/>
        <v>4.8584236508120247E-3</v>
      </c>
      <c r="H215" s="2">
        <v>4.1288104921780823E-3</v>
      </c>
      <c r="I215" s="2">
        <f t="shared" si="29"/>
        <v>1.8529798139805889E-3</v>
      </c>
      <c r="J215">
        <v>-1.0448650553452189E-2</v>
      </c>
      <c r="K215" s="27">
        <f t="shared" si="30"/>
        <v>-1.2724481231649681E-2</v>
      </c>
      <c r="L215" s="27">
        <f t="shared" si="31"/>
        <v>-3.3765482945697835E-3</v>
      </c>
      <c r="M215" s="2">
        <v>3.2733224222585224E-3</v>
      </c>
      <c r="N215" s="27">
        <f t="shared" si="32"/>
        <v>9.9749174406102903E-4</v>
      </c>
      <c r="O215" s="2">
        <v>-8.5812049896866784E-3</v>
      </c>
      <c r="P215" s="27">
        <f t="shared" si="33"/>
        <v>-1.0857035667884173E-2</v>
      </c>
      <c r="Q215" s="2">
        <v>2.8833553543629966E-3</v>
      </c>
      <c r="R215" s="27">
        <f t="shared" si="34"/>
        <v>6.0752467616550327E-4</v>
      </c>
      <c r="S215" s="2">
        <v>-7.392911341966648E-3</v>
      </c>
      <c r="T215" s="27">
        <f t="shared" si="35"/>
        <v>-9.6687420201641422E-3</v>
      </c>
    </row>
    <row r="216" spans="1:20">
      <c r="A216" s="1">
        <v>42993</v>
      </c>
      <c r="B216">
        <v>1.8471813753215278E-3</v>
      </c>
      <c r="C216" s="2">
        <v>1.2261580381471451E-2</v>
      </c>
      <c r="D216" s="2">
        <v>6.3223184057491874E-2</v>
      </c>
      <c r="E216" s="2">
        <f t="shared" si="27"/>
        <v>5.0961603676020421E-2</v>
      </c>
      <c r="F216" s="2">
        <v>1.8609609496507619E-2</v>
      </c>
      <c r="G216" s="2">
        <f t="shared" si="28"/>
        <v>6.3480291150361679E-3</v>
      </c>
      <c r="H216" s="2">
        <v>1.4254398452153131E-2</v>
      </c>
      <c r="I216" s="2">
        <f t="shared" si="29"/>
        <v>1.9928180706816796E-3</v>
      </c>
      <c r="J216">
        <v>-2.2586616964880924E-3</v>
      </c>
      <c r="K216" s="27">
        <f t="shared" si="30"/>
        <v>-1.4520242077959544E-2</v>
      </c>
      <c r="L216" s="27">
        <f t="shared" si="31"/>
        <v>-1.0414399006149924E-2</v>
      </c>
      <c r="M216" s="2">
        <v>2.1207177814029348E-2</v>
      </c>
      <c r="N216" s="27">
        <f t="shared" si="32"/>
        <v>8.9455974325578971E-3</v>
      </c>
      <c r="O216" s="2">
        <v>1.010866932546598E-2</v>
      </c>
      <c r="P216" s="27">
        <f t="shared" si="33"/>
        <v>-2.1529110560054715E-3</v>
      </c>
      <c r="Q216" s="2">
        <v>1.457784470015073E-2</v>
      </c>
      <c r="R216" s="27">
        <f t="shared" si="34"/>
        <v>2.3162643186792793E-3</v>
      </c>
      <c r="S216" s="2">
        <v>-5.4625975144604634E-3</v>
      </c>
      <c r="T216" s="27">
        <f t="shared" si="35"/>
        <v>-1.7724177895931913E-2</v>
      </c>
    </row>
    <row r="217" spans="1:20">
      <c r="A217" s="1">
        <v>42996</v>
      </c>
      <c r="B217">
        <v>1.4559208669275567E-3</v>
      </c>
      <c r="C217" s="2">
        <v>6.2808434275458905E-3</v>
      </c>
      <c r="D217" s="2">
        <v>4.130810037583639E-2</v>
      </c>
      <c r="E217" s="2">
        <f t="shared" si="27"/>
        <v>3.5027256948290501E-2</v>
      </c>
      <c r="F217" s="2">
        <v>1.5323040970374378E-2</v>
      </c>
      <c r="G217" s="2">
        <f t="shared" si="28"/>
        <v>9.0421975428284871E-3</v>
      </c>
      <c r="H217" s="2">
        <v>0</v>
      </c>
      <c r="I217" s="2">
        <f t="shared" si="29"/>
        <v>-6.2808434275458905E-3</v>
      </c>
      <c r="J217">
        <v>1.8562530026528544E-2</v>
      </c>
      <c r="K217" s="27">
        <f t="shared" si="30"/>
        <v>1.2281686598982653E-2</v>
      </c>
      <c r="L217" s="27">
        <f t="shared" si="31"/>
        <v>-4.8249225606183336E-3</v>
      </c>
      <c r="M217" s="2">
        <v>4.4728434504792372E-2</v>
      </c>
      <c r="N217" s="27">
        <f t="shared" si="32"/>
        <v>3.8447591077246483E-2</v>
      </c>
      <c r="O217" s="2">
        <v>-7.5682213506934968E-3</v>
      </c>
      <c r="P217" s="27">
        <f t="shared" si="33"/>
        <v>-1.3849064778239387E-2</v>
      </c>
      <c r="Q217" s="2">
        <v>1.1622169725572767E-3</v>
      </c>
      <c r="R217" s="27">
        <f t="shared" si="34"/>
        <v>-5.1186264549886139E-3</v>
      </c>
      <c r="S217" s="2">
        <v>-1.276865014938363E-2</v>
      </c>
      <c r="T217" s="27">
        <f t="shared" si="35"/>
        <v>-1.9049493576929519E-2</v>
      </c>
    </row>
    <row r="218" spans="1:20">
      <c r="A218" s="1">
        <v>42997</v>
      </c>
      <c r="B218">
        <v>1.1101953656169517E-3</v>
      </c>
      <c r="C218" s="2">
        <v>1.5158270173874389E-2</v>
      </c>
      <c r="D218" s="2">
        <v>-1.0663662852620492E-3</v>
      </c>
      <c r="E218" s="2">
        <f t="shared" si="27"/>
        <v>-1.6224636459136438E-2</v>
      </c>
      <c r="F218" s="2">
        <v>7.7779715518366153E-3</v>
      </c>
      <c r="G218" s="2">
        <f t="shared" si="28"/>
        <v>-7.3802986220377733E-3</v>
      </c>
      <c r="H218" s="2">
        <v>6.2162430213192638E-3</v>
      </c>
      <c r="I218" s="2">
        <f t="shared" si="29"/>
        <v>-8.9420271525551247E-3</v>
      </c>
      <c r="J218">
        <v>5.0011669074603187E-4</v>
      </c>
      <c r="K218" s="27">
        <f t="shared" si="30"/>
        <v>-1.4658153483128357E-2</v>
      </c>
      <c r="L218" s="27">
        <f t="shared" si="31"/>
        <v>-1.4048074808257437E-2</v>
      </c>
      <c r="M218" s="2">
        <v>3.0581039755351032E-3</v>
      </c>
      <c r="N218" s="27">
        <f t="shared" si="32"/>
        <v>-1.2100166198339285E-2</v>
      </c>
      <c r="O218" s="2">
        <v>3.7813649737057821E-4</v>
      </c>
      <c r="P218" s="27">
        <f t="shared" si="33"/>
        <v>-1.478013367650381E-2</v>
      </c>
      <c r="Q218" s="2">
        <v>-2.4022095235951376E-4</v>
      </c>
      <c r="R218" s="27">
        <f t="shared" si="34"/>
        <v>-1.5398491126233902E-2</v>
      </c>
      <c r="S218" s="2">
        <v>-4.4447356173955045E-3</v>
      </c>
      <c r="T218" s="27">
        <f t="shared" si="35"/>
        <v>-1.9603005791269893E-2</v>
      </c>
    </row>
    <row r="219" spans="1:20">
      <c r="A219" s="1">
        <v>42998</v>
      </c>
      <c r="B219">
        <v>6.3434785955997588E-4</v>
      </c>
      <c r="C219" s="2">
        <v>4.3917435221778209E-4</v>
      </c>
      <c r="D219" s="2">
        <v>-8.0598342761728763E-3</v>
      </c>
      <c r="E219" s="2">
        <f t="shared" si="27"/>
        <v>-8.4990086283906578E-3</v>
      </c>
      <c r="F219" s="2">
        <v>-1.1288962238887821E-2</v>
      </c>
      <c r="G219" s="2">
        <f t="shared" si="28"/>
        <v>-1.1728136591105602E-2</v>
      </c>
      <c r="H219" s="2">
        <v>-4.2976255225856382E-3</v>
      </c>
      <c r="I219" s="2">
        <f t="shared" si="29"/>
        <v>-4.7367998748034205E-3</v>
      </c>
      <c r="J219">
        <v>-1.1773254387667168E-2</v>
      </c>
      <c r="K219" s="27">
        <f t="shared" si="30"/>
        <v>-1.2212428739884949E-2</v>
      </c>
      <c r="L219" s="27">
        <f t="shared" si="31"/>
        <v>1.9517350734219379E-4</v>
      </c>
      <c r="M219" s="2">
        <v>4.7256097560975686E-2</v>
      </c>
      <c r="N219" s="27">
        <f t="shared" si="32"/>
        <v>4.6816923208757903E-2</v>
      </c>
      <c r="O219" s="2">
        <v>-1.6757891714214036E-2</v>
      </c>
      <c r="P219" s="27">
        <f t="shared" si="33"/>
        <v>-1.7197066066431819E-2</v>
      </c>
      <c r="Q219" s="2">
        <v>-2.7426293790564885E-2</v>
      </c>
      <c r="R219" s="27">
        <f t="shared" si="34"/>
        <v>-2.7865468142782669E-2</v>
      </c>
      <c r="S219" s="2">
        <v>3.454144981556208E-3</v>
      </c>
      <c r="T219" s="27">
        <f t="shared" si="35"/>
        <v>3.0149706293384261E-3</v>
      </c>
    </row>
    <row r="220" spans="1:20">
      <c r="A220" s="1">
        <v>42999</v>
      </c>
      <c r="B220">
        <v>-3.0459174682085127E-3</v>
      </c>
      <c r="C220" s="2">
        <v>-7.0237050043898217E-3</v>
      </c>
      <c r="D220" s="2">
        <v>-2.7335348199211164E-2</v>
      </c>
      <c r="E220" s="2">
        <f t="shared" si="27"/>
        <v>-2.0311643194821344E-2</v>
      </c>
      <c r="F220" s="2">
        <v>2.5632529163369939E-3</v>
      </c>
      <c r="G220" s="2">
        <f t="shared" si="28"/>
        <v>9.5869579207268161E-3</v>
      </c>
      <c r="H220" s="2">
        <v>3.5068750859527319E-3</v>
      </c>
      <c r="I220" s="2">
        <f t="shared" si="29"/>
        <v>1.0530580090342554E-2</v>
      </c>
      <c r="J220">
        <v>-3.1469402047812753E-3</v>
      </c>
      <c r="K220" s="27">
        <f t="shared" si="30"/>
        <v>3.8767647996085465E-3</v>
      </c>
      <c r="L220" s="27">
        <f t="shared" si="31"/>
        <v>3.9777875361813094E-3</v>
      </c>
      <c r="M220" s="2">
        <v>-2.4017467248908301E-2</v>
      </c>
      <c r="N220" s="27">
        <f t="shared" si="32"/>
        <v>-1.6993762244518477E-2</v>
      </c>
      <c r="O220" s="2">
        <v>-1.7171843136391991E-2</v>
      </c>
      <c r="P220" s="27">
        <f t="shared" si="33"/>
        <v>-1.0148138132002169E-2</v>
      </c>
      <c r="Q220" s="2">
        <v>-1.0415375893699197E-2</v>
      </c>
      <c r="R220" s="27">
        <f t="shared" si="34"/>
        <v>-3.3916708893093755E-3</v>
      </c>
      <c r="S220" s="2">
        <v>-8.7956328094615024E-3</v>
      </c>
      <c r="T220" s="27">
        <f t="shared" si="35"/>
        <v>-1.7719278050716807E-3</v>
      </c>
    </row>
    <row r="221" spans="1:20">
      <c r="A221" s="1">
        <v>43000</v>
      </c>
      <c r="B221">
        <v>6.4779370411753774E-4</v>
      </c>
      <c r="C221" s="2">
        <v>-1.8567639257294349E-2</v>
      </c>
      <c r="D221" s="2">
        <v>-9.7366400126311335E-3</v>
      </c>
      <c r="E221" s="2">
        <f t="shared" si="27"/>
        <v>8.8309992446632159E-3</v>
      </c>
      <c r="F221" s="2">
        <v>2.5798823114771129E-2</v>
      </c>
      <c r="G221" s="2">
        <f t="shared" si="28"/>
        <v>4.4366462372065478E-2</v>
      </c>
      <c r="H221" s="2">
        <v>-5.3762966915366452E-4</v>
      </c>
      <c r="I221" s="2">
        <f t="shared" si="29"/>
        <v>1.8030009588140685E-2</v>
      </c>
      <c r="J221">
        <v>4.2279722883362776E-3</v>
      </c>
      <c r="K221" s="27">
        <f t="shared" si="30"/>
        <v>2.2795611545630628E-2</v>
      </c>
      <c r="L221" s="27">
        <f t="shared" si="31"/>
        <v>1.9215432961411889E-2</v>
      </c>
      <c r="M221" s="2">
        <v>-8.2028337061893688E-3</v>
      </c>
      <c r="N221" s="27">
        <f t="shared" si="32"/>
        <v>1.0364805551104981E-2</v>
      </c>
      <c r="O221" s="2">
        <v>-9.7790075502274774E-3</v>
      </c>
      <c r="P221" s="27">
        <f t="shared" si="33"/>
        <v>8.7886317070668719E-3</v>
      </c>
      <c r="Q221" s="2">
        <v>-4.7424909571826277E-3</v>
      </c>
      <c r="R221" s="27">
        <f t="shared" si="34"/>
        <v>1.3825148300111723E-2</v>
      </c>
      <c r="S221" s="2">
        <v>-9.9000132300831826E-3</v>
      </c>
      <c r="T221" s="27">
        <f t="shared" si="35"/>
        <v>8.6676260272111668E-3</v>
      </c>
    </row>
    <row r="222" spans="1:20">
      <c r="A222" s="1">
        <v>43003</v>
      </c>
      <c r="B222">
        <v>-2.2220504449806063E-3</v>
      </c>
      <c r="C222" s="2">
        <v>4.0540540540540074E-3</v>
      </c>
      <c r="D222" s="2">
        <v>-4.4692737430167599E-2</v>
      </c>
      <c r="E222" s="2">
        <f t="shared" si="27"/>
        <v>-4.8746791484221605E-2</v>
      </c>
      <c r="F222" s="2">
        <v>-8.7231838278458342E-3</v>
      </c>
      <c r="G222" s="2">
        <f t="shared" si="28"/>
        <v>-1.2777237881899842E-2</v>
      </c>
      <c r="H222" s="2">
        <v>-5.3791887029774215E-4</v>
      </c>
      <c r="I222" s="2">
        <f t="shared" si="29"/>
        <v>-4.5919729243517494E-3</v>
      </c>
      <c r="J222">
        <v>-4.7995975345211356E-2</v>
      </c>
      <c r="K222" s="27">
        <f t="shared" si="30"/>
        <v>-5.2050029399265361E-2</v>
      </c>
      <c r="L222" s="27">
        <f t="shared" si="31"/>
        <v>-6.2761044990346133E-3</v>
      </c>
      <c r="M222" s="2">
        <v>-5.1879699248120394E-2</v>
      </c>
      <c r="N222" s="27">
        <f t="shared" si="32"/>
        <v>-5.5933753302174399E-2</v>
      </c>
      <c r="O222" s="2">
        <v>-8.8222060702629387E-3</v>
      </c>
      <c r="P222" s="27">
        <f t="shared" si="33"/>
        <v>-1.2876260124316946E-2</v>
      </c>
      <c r="Q222" s="2">
        <v>-1.5591079761095946E-2</v>
      </c>
      <c r="R222" s="27">
        <f t="shared" si="34"/>
        <v>-1.9645133815149953E-2</v>
      </c>
      <c r="S222" s="2">
        <v>-1.6029733415049263E-2</v>
      </c>
      <c r="T222" s="27">
        <f t="shared" si="35"/>
        <v>-2.0083787469103269E-2</v>
      </c>
    </row>
    <row r="223" spans="1:20">
      <c r="A223" s="1">
        <v>43004</v>
      </c>
      <c r="B223">
        <v>7.2166817408268093E-5</v>
      </c>
      <c r="C223" s="2">
        <v>3.5890533871691374E-2</v>
      </c>
      <c r="D223" s="2">
        <v>5.6140760233917564E-3</v>
      </c>
      <c r="E223" s="2">
        <f t="shared" si="27"/>
        <v>-3.0276457848299618E-2</v>
      </c>
      <c r="F223" s="2">
        <v>2.2856544636736301E-3</v>
      </c>
      <c r="G223" s="2">
        <f t="shared" si="28"/>
        <v>-3.3604879408017742E-2</v>
      </c>
      <c r="H223" s="2">
        <v>8.3423111429167408E-3</v>
      </c>
      <c r="I223" s="2">
        <f t="shared" si="29"/>
        <v>-2.7548222728774635E-2</v>
      </c>
      <c r="J223">
        <v>-1.5154148597302951E-2</v>
      </c>
      <c r="K223" s="27">
        <f t="shared" si="30"/>
        <v>-5.1044682468994323E-2</v>
      </c>
      <c r="L223" s="27">
        <f t="shared" si="31"/>
        <v>-3.5818367054283103E-2</v>
      </c>
      <c r="M223" s="2">
        <v>-1.2688342585249814E-2</v>
      </c>
      <c r="N223" s="27">
        <f t="shared" si="32"/>
        <v>-4.8578876456941186E-2</v>
      </c>
      <c r="O223" s="2">
        <v>1.7203563049194393E-2</v>
      </c>
      <c r="P223" s="27">
        <f t="shared" si="33"/>
        <v>-1.8686970822496981E-2</v>
      </c>
      <c r="Q223" s="2">
        <v>7.4731817645361364E-3</v>
      </c>
      <c r="R223" s="27">
        <f t="shared" si="34"/>
        <v>-2.8417352107155236E-2</v>
      </c>
      <c r="S223" s="2">
        <v>-1.2662424880636996E-3</v>
      </c>
      <c r="T223" s="27">
        <f t="shared" si="35"/>
        <v>-3.7156776359755075E-2</v>
      </c>
    </row>
    <row r="224" spans="1:20">
      <c r="A224" s="1">
        <v>43005</v>
      </c>
      <c r="B224">
        <v>4.0851438780648321E-3</v>
      </c>
      <c r="C224" s="2">
        <v>0</v>
      </c>
      <c r="D224" s="2">
        <v>2.1923638325974305E-2</v>
      </c>
      <c r="E224" s="2">
        <f t="shared" si="27"/>
        <v>2.1923638325974305E-2</v>
      </c>
      <c r="F224" s="2">
        <v>1.2656813749178555E-2</v>
      </c>
      <c r="G224" s="2">
        <f t="shared" si="28"/>
        <v>1.2656813749178555E-2</v>
      </c>
      <c r="H224" s="2">
        <v>1.8681715414663848E-3</v>
      </c>
      <c r="I224" s="2">
        <f t="shared" si="29"/>
        <v>1.8681715414663848E-3</v>
      </c>
      <c r="J224">
        <v>2.3769613848171122E-2</v>
      </c>
      <c r="K224" s="27">
        <f t="shared" si="30"/>
        <v>2.3769613848171122E-2</v>
      </c>
      <c r="L224" s="27">
        <f t="shared" si="31"/>
        <v>4.0851438780648321E-3</v>
      </c>
      <c r="M224" s="2">
        <v>2.3293172690763128E-2</v>
      </c>
      <c r="N224" s="27">
        <f t="shared" si="32"/>
        <v>2.3293172690763128E-2</v>
      </c>
      <c r="O224" s="2">
        <v>7.1177318812484644E-3</v>
      </c>
      <c r="P224" s="27">
        <f t="shared" si="33"/>
        <v>7.1177318812484644E-3</v>
      </c>
      <c r="Q224" s="2">
        <v>1.3950343255357333E-2</v>
      </c>
      <c r="R224" s="27">
        <f t="shared" si="34"/>
        <v>1.3950343255357333E-2</v>
      </c>
      <c r="S224" s="2">
        <v>1.3072681987795031E-2</v>
      </c>
      <c r="T224" s="27">
        <f t="shared" si="35"/>
        <v>1.3072681987795031E-2</v>
      </c>
    </row>
    <row r="225" spans="1:20">
      <c r="A225" s="1">
        <v>43006</v>
      </c>
      <c r="B225">
        <v>1.2046157831625804E-3</v>
      </c>
      <c r="C225" s="2">
        <v>7.362494586400997E-3</v>
      </c>
      <c r="D225" s="2">
        <v>-2.8454447810949586E-4</v>
      </c>
      <c r="E225" s="2">
        <f t="shared" si="27"/>
        <v>-7.6470390645104929E-3</v>
      </c>
      <c r="F225" s="2">
        <v>9.4584462360044873E-3</v>
      </c>
      <c r="G225" s="2">
        <f t="shared" si="28"/>
        <v>2.0959516496034903E-3</v>
      </c>
      <c r="H225" s="2">
        <v>7.7251053114077827E-3</v>
      </c>
      <c r="I225" s="2">
        <f t="shared" si="29"/>
        <v>3.626107250067857E-4</v>
      </c>
      <c r="J225">
        <v>-4.386221288197518E-3</v>
      </c>
      <c r="K225" s="27">
        <f t="shared" si="30"/>
        <v>-1.1748715874598515E-2</v>
      </c>
      <c r="L225" s="27">
        <f t="shared" si="31"/>
        <v>-6.1578788032384171E-3</v>
      </c>
      <c r="M225" s="2">
        <v>0</v>
      </c>
      <c r="N225" s="27">
        <f t="shared" si="32"/>
        <v>-7.362494586400997E-3</v>
      </c>
      <c r="O225" s="2">
        <v>-6.1596114321213037E-3</v>
      </c>
      <c r="P225" s="27">
        <f t="shared" si="33"/>
        <v>-1.3522106018522301E-2</v>
      </c>
      <c r="Q225" s="2">
        <v>9.8096266538396041E-3</v>
      </c>
      <c r="R225" s="27">
        <f t="shared" si="34"/>
        <v>2.4471320674386071E-3</v>
      </c>
      <c r="S225" s="2">
        <v>5.8157571792976951E-3</v>
      </c>
      <c r="T225" s="27">
        <f t="shared" si="35"/>
        <v>-1.5467374071033019E-3</v>
      </c>
    </row>
    <row r="226" spans="1:20">
      <c r="A226" s="1">
        <v>43007</v>
      </c>
      <c r="B226">
        <v>3.7051097509217252E-3</v>
      </c>
      <c r="C226" s="2">
        <v>4.7291487532244714E-3</v>
      </c>
      <c r="D226" s="2">
        <v>1.7588861128882239E-2</v>
      </c>
      <c r="E226" s="2">
        <f t="shared" si="27"/>
        <v>1.2859712375657768E-2</v>
      </c>
      <c r="F226" s="2">
        <v>-1.1159642064344927E-4</v>
      </c>
      <c r="G226" s="2">
        <f t="shared" si="28"/>
        <v>-4.8407451738679205E-3</v>
      </c>
      <c r="H226" s="2">
        <v>6.608506428141799E-3</v>
      </c>
      <c r="I226" s="2">
        <f t="shared" si="29"/>
        <v>1.8793576749173277E-3</v>
      </c>
      <c r="J226">
        <v>1.4508939893416908E-2</v>
      </c>
      <c r="K226" s="27">
        <f t="shared" si="30"/>
        <v>9.779791140192437E-3</v>
      </c>
      <c r="L226" s="27">
        <f t="shared" si="31"/>
        <v>-1.0240390023027461E-3</v>
      </c>
      <c r="M226" s="2">
        <v>7.8492935635791103E-4</v>
      </c>
      <c r="N226" s="27">
        <f t="shared" si="32"/>
        <v>-3.9442193968665601E-3</v>
      </c>
      <c r="O226" s="2">
        <v>5.4800612556891387E-3</v>
      </c>
      <c r="P226" s="27">
        <f t="shared" si="33"/>
        <v>7.5091250246466738E-4</v>
      </c>
      <c r="Q226" s="2">
        <v>-1.6465341100967924E-3</v>
      </c>
      <c r="R226" s="27">
        <f t="shared" si="34"/>
        <v>-6.375682863321264E-3</v>
      </c>
      <c r="S226" s="2">
        <v>5.1756084021176681E-3</v>
      </c>
      <c r="T226" s="27">
        <f t="shared" si="35"/>
        <v>4.4645964889319673E-4</v>
      </c>
    </row>
    <row r="227" spans="1:20">
      <c r="A227" s="1">
        <v>43010</v>
      </c>
      <c r="B227">
        <v>3.8740035506960443E-3</v>
      </c>
      <c r="C227" s="2">
        <v>-1.2836970474968392E-3</v>
      </c>
      <c r="D227" s="2">
        <v>1.2865469309940826E-3</v>
      </c>
      <c r="E227" s="2">
        <f t="shared" si="27"/>
        <v>2.5702439784909218E-3</v>
      </c>
      <c r="F227" s="2">
        <v>1.1160887579449997E-4</v>
      </c>
      <c r="G227" s="2">
        <f t="shared" si="28"/>
        <v>1.3953059232913391E-3</v>
      </c>
      <c r="H227" s="2">
        <v>2.5210019436193654E-2</v>
      </c>
      <c r="I227" s="2">
        <f t="shared" si="29"/>
        <v>2.6493716483690494E-2</v>
      </c>
      <c r="J227">
        <v>5.2110124690112536E-3</v>
      </c>
      <c r="K227" s="27">
        <f t="shared" si="30"/>
        <v>6.4947095165080928E-3</v>
      </c>
      <c r="L227" s="27">
        <f t="shared" si="31"/>
        <v>5.1577005981928836E-3</v>
      </c>
      <c r="M227" s="2">
        <v>-3.1372549019607174E-3</v>
      </c>
      <c r="N227" s="27">
        <f t="shared" si="32"/>
        <v>-1.8535578544638782E-3</v>
      </c>
      <c r="O227" s="2">
        <v>-2.0113834703459192E-3</v>
      </c>
      <c r="P227" s="27">
        <f t="shared" si="33"/>
        <v>-7.2768642284907993E-4</v>
      </c>
      <c r="Q227" s="2">
        <v>-8.5346419549043751E-3</v>
      </c>
      <c r="R227" s="27">
        <f t="shared" si="34"/>
        <v>-7.2509449074075359E-3</v>
      </c>
      <c r="S227" s="2">
        <v>-2.2468133915051142E-3</v>
      </c>
      <c r="T227" s="27">
        <f t="shared" si="35"/>
        <v>-9.6311634400827496E-4</v>
      </c>
    </row>
    <row r="228" spans="1:20">
      <c r="A228" s="1">
        <v>43011</v>
      </c>
      <c r="B228">
        <v>2.1588381521699079E-3</v>
      </c>
      <c r="C228" s="2">
        <v>-1.7137960582690674E-3</v>
      </c>
      <c r="D228" s="2">
        <v>2.0670111731842947E-3</v>
      </c>
      <c r="E228" s="2">
        <f t="shared" si="27"/>
        <v>3.7808072314533623E-3</v>
      </c>
      <c r="F228" s="2">
        <v>3.2347919314428312E-3</v>
      </c>
      <c r="G228" s="2">
        <f t="shared" si="28"/>
        <v>4.9485879897118983E-3</v>
      </c>
      <c r="H228" s="2">
        <v>8.709042938799056E-3</v>
      </c>
      <c r="I228" s="2">
        <f t="shared" si="29"/>
        <v>1.0422838997068123E-2</v>
      </c>
      <c r="J228">
        <v>2.8512165033626122E-2</v>
      </c>
      <c r="K228" s="27">
        <f t="shared" si="30"/>
        <v>3.0225961091895188E-2</v>
      </c>
      <c r="L228" s="27">
        <f t="shared" si="31"/>
        <v>3.8726342104389751E-3</v>
      </c>
      <c r="M228" s="2">
        <v>5.586152635719898E-2</v>
      </c>
      <c r="N228" s="27">
        <f t="shared" si="32"/>
        <v>5.7575322415468047E-2</v>
      </c>
      <c r="O228" s="2">
        <v>4.3560429789436346E-3</v>
      </c>
      <c r="P228" s="27">
        <f t="shared" si="33"/>
        <v>6.0698390372127022E-3</v>
      </c>
      <c r="Q228" s="2">
        <v>-4.0337713476368154E-3</v>
      </c>
      <c r="R228" s="27">
        <f t="shared" si="34"/>
        <v>-2.3199752893677478E-3</v>
      </c>
      <c r="S228" s="2">
        <v>-2.178948900261869E-3</v>
      </c>
      <c r="T228" s="27">
        <f t="shared" si="35"/>
        <v>-4.6515284199280158E-4</v>
      </c>
    </row>
    <row r="229" spans="1:20">
      <c r="A229" s="1">
        <v>43012</v>
      </c>
      <c r="B229">
        <v>1.2467201282878846E-3</v>
      </c>
      <c r="C229" s="2">
        <v>8.5836909871244704E-3</v>
      </c>
      <c r="D229" s="2">
        <v>8.3626026749903191E-3</v>
      </c>
      <c r="E229" s="2">
        <f t="shared" si="27"/>
        <v>-2.2108831213415135E-4</v>
      </c>
      <c r="F229" s="2">
        <v>6.1151704591415595E-3</v>
      </c>
      <c r="G229" s="2">
        <f t="shared" si="28"/>
        <v>-2.468520527982911E-3</v>
      </c>
      <c r="H229" s="2">
        <v>-1.0157606251333614E-3</v>
      </c>
      <c r="I229" s="2">
        <f t="shared" si="29"/>
        <v>-9.5994516122578314E-3</v>
      </c>
      <c r="J229">
        <v>8.4010417607634019E-4</v>
      </c>
      <c r="K229" s="27">
        <f t="shared" si="30"/>
        <v>-7.7435868110481299E-3</v>
      </c>
      <c r="L229" s="27">
        <f t="shared" si="31"/>
        <v>-7.336970858836586E-3</v>
      </c>
      <c r="M229" s="2">
        <v>-8.1967213114753669E-3</v>
      </c>
      <c r="N229" s="27">
        <f t="shared" si="32"/>
        <v>-1.6780412298599837E-2</v>
      </c>
      <c r="O229" s="2">
        <v>-6.4733039634571618E-3</v>
      </c>
      <c r="P229" s="27">
        <f t="shared" si="33"/>
        <v>-1.5056994950581631E-2</v>
      </c>
      <c r="Q229" s="2">
        <v>1.0438413361169102E-2</v>
      </c>
      <c r="R229" s="27">
        <f t="shared" si="34"/>
        <v>1.8547223740446317E-3</v>
      </c>
      <c r="S229" s="2">
        <v>8.7243090684186227E-3</v>
      </c>
      <c r="T229" s="27">
        <f t="shared" si="35"/>
        <v>1.4061808129415231E-4</v>
      </c>
    </row>
    <row r="230" spans="1:20">
      <c r="A230" s="1">
        <v>43013</v>
      </c>
      <c r="B230">
        <v>5.6467873211865005E-3</v>
      </c>
      <c r="C230" s="2">
        <v>8.5106382978723475E-3</v>
      </c>
      <c r="D230" s="2">
        <v>-5.5283354212504188E-4</v>
      </c>
      <c r="E230" s="2">
        <f t="shared" si="27"/>
        <v>-9.0634718399973894E-3</v>
      </c>
      <c r="F230" s="2">
        <v>7.1831069343663689E-3</v>
      </c>
      <c r="G230" s="2">
        <f t="shared" si="28"/>
        <v>-1.3275313635059786E-3</v>
      </c>
      <c r="H230" s="2">
        <v>4.8295962605116082E-3</v>
      </c>
      <c r="I230" s="2">
        <f t="shared" si="29"/>
        <v>-3.6810420373607393E-3</v>
      </c>
      <c r="J230">
        <v>1.0071735938099909E-3</v>
      </c>
      <c r="K230" s="27">
        <f t="shared" si="30"/>
        <v>-7.5034647040623566E-3</v>
      </c>
      <c r="L230" s="27">
        <f t="shared" si="31"/>
        <v>-2.863850976685847E-3</v>
      </c>
      <c r="M230" s="2">
        <v>2.253944402704685E-3</v>
      </c>
      <c r="N230" s="27">
        <f t="shared" si="32"/>
        <v>-6.2566938951676629E-3</v>
      </c>
      <c r="O230" s="2">
        <v>1.2444576280882934E-2</v>
      </c>
      <c r="P230" s="27">
        <f t="shared" si="33"/>
        <v>3.9339379830105863E-3</v>
      </c>
      <c r="Q230" s="2">
        <v>6.9008181818181512E-3</v>
      </c>
      <c r="R230" s="27">
        <f t="shared" si="34"/>
        <v>-1.6098201160541963E-3</v>
      </c>
      <c r="S230" s="2">
        <v>1.5951073394362289E-2</v>
      </c>
      <c r="T230" s="27">
        <f t="shared" si="35"/>
        <v>7.4404350964899415E-3</v>
      </c>
    </row>
    <row r="231" spans="1:20">
      <c r="A231" s="1">
        <v>43014</v>
      </c>
      <c r="B231">
        <v>-1.0736343152785389E-3</v>
      </c>
      <c r="C231" s="2">
        <v>-3.7974683544303362E-3</v>
      </c>
      <c r="D231" s="2">
        <v>2.9318968206694493E-3</v>
      </c>
      <c r="E231" s="2">
        <f t="shared" si="27"/>
        <v>6.7293651750997855E-3</v>
      </c>
      <c r="F231" s="2">
        <v>2.3041407484327469E-3</v>
      </c>
      <c r="G231" s="2">
        <f t="shared" si="28"/>
        <v>6.1016091028630835E-3</v>
      </c>
      <c r="H231" s="2">
        <v>2.5298294798485966E-3</v>
      </c>
      <c r="I231" s="2">
        <f t="shared" si="29"/>
        <v>6.3272978342789332E-3</v>
      </c>
      <c r="J231">
        <v>1.7328973208838095E-3</v>
      </c>
      <c r="K231" s="27">
        <f t="shared" si="30"/>
        <v>5.5303656753141455E-3</v>
      </c>
      <c r="L231" s="27">
        <f t="shared" si="31"/>
        <v>2.7238340391517973E-3</v>
      </c>
      <c r="M231" s="2">
        <v>-8.2458770614692225E-3</v>
      </c>
      <c r="N231" s="27">
        <f t="shared" si="32"/>
        <v>-4.4484087070388867E-3</v>
      </c>
      <c r="O231" s="2">
        <v>-5.791774021041236E-4</v>
      </c>
      <c r="P231" s="27">
        <f t="shared" si="33"/>
        <v>3.2182909523262126E-3</v>
      </c>
      <c r="Q231" s="2">
        <v>8.4951246234261629E-3</v>
      </c>
      <c r="R231" s="27">
        <f t="shared" si="34"/>
        <v>1.2292592977856499E-2</v>
      </c>
      <c r="S231" s="2">
        <v>8.9004855111502069E-3</v>
      </c>
      <c r="T231" s="27">
        <f t="shared" si="35"/>
        <v>1.2697953865580543E-2</v>
      </c>
    </row>
    <row r="232" spans="1:20">
      <c r="A232" s="1">
        <v>43017</v>
      </c>
      <c r="B232">
        <v>-1.8044340510071403E-3</v>
      </c>
      <c r="C232" s="2">
        <v>-6.776789495976287E-3</v>
      </c>
      <c r="D232" s="2">
        <v>2.2559271551694265E-2</v>
      </c>
      <c r="E232" s="2">
        <f t="shared" si="27"/>
        <v>2.9336061047670552E-2</v>
      </c>
      <c r="F232" s="2">
        <v>2.5178060587664041E-3</v>
      </c>
      <c r="G232" s="2">
        <f t="shared" si="28"/>
        <v>9.294595554742692E-3</v>
      </c>
      <c r="H232" s="2">
        <v>5.8036837254448609E-3</v>
      </c>
      <c r="I232" s="2">
        <f t="shared" si="29"/>
        <v>1.2580473221421147E-2</v>
      </c>
      <c r="J232">
        <v>1.6127226832487154E-2</v>
      </c>
      <c r="K232" s="27">
        <f t="shared" si="30"/>
        <v>2.290401632846344E-2</v>
      </c>
      <c r="L232" s="27">
        <f t="shared" si="31"/>
        <v>4.9723554449691469E-3</v>
      </c>
      <c r="M232" s="2">
        <v>1.8140589569161012E-2</v>
      </c>
      <c r="N232" s="27">
        <f t="shared" si="32"/>
        <v>2.4917379065137298E-2</v>
      </c>
      <c r="O232" s="2">
        <v>3.4771751922481899E-3</v>
      </c>
      <c r="P232" s="27">
        <f t="shared" si="33"/>
        <v>1.0253964688224477E-2</v>
      </c>
      <c r="Q232" s="2">
        <v>2.7671237330690055E-3</v>
      </c>
      <c r="R232" s="27">
        <f t="shared" si="34"/>
        <v>9.5439132290452925E-3</v>
      </c>
      <c r="S232" s="2">
        <v>1.4248195959680908E-3</v>
      </c>
      <c r="T232" s="27">
        <f t="shared" si="35"/>
        <v>8.2016090919443778E-3</v>
      </c>
    </row>
    <row r="233" spans="1:20">
      <c r="A233" s="1">
        <v>43018</v>
      </c>
      <c r="B233">
        <v>2.3224126121231771E-3</v>
      </c>
      <c r="C233" s="2">
        <v>0</v>
      </c>
      <c r="D233" s="2">
        <v>1.909484880033905E-2</v>
      </c>
      <c r="E233" s="2">
        <f t="shared" si="27"/>
        <v>1.909484880033905E-2</v>
      </c>
      <c r="F233" s="2">
        <v>8.7355449415322303E-3</v>
      </c>
      <c r="G233" s="2">
        <f t="shared" si="28"/>
        <v>8.7355449415322303E-3</v>
      </c>
      <c r="H233" s="2">
        <v>-5.2684436093972482E-3</v>
      </c>
      <c r="I233" s="2">
        <f t="shared" si="29"/>
        <v>-5.2684436093972482E-3</v>
      </c>
      <c r="J233">
        <v>5.6565380999842249E-3</v>
      </c>
      <c r="K233" s="27">
        <f t="shared" si="30"/>
        <v>5.6565380999842249E-3</v>
      </c>
      <c r="L233" s="27">
        <f t="shared" si="31"/>
        <v>2.3224126121231771E-3</v>
      </c>
      <c r="M233" s="2">
        <v>1.7074981440237464E-2</v>
      </c>
      <c r="N233" s="27">
        <f t="shared" si="32"/>
        <v>1.7074981440237464E-2</v>
      </c>
      <c r="O233" s="2">
        <v>3.8490670612089994E-4</v>
      </c>
      <c r="P233" s="27">
        <f t="shared" si="33"/>
        <v>3.8490670612089994E-4</v>
      </c>
      <c r="Q233" s="2">
        <v>-1.744959838852024E-3</v>
      </c>
      <c r="R233" s="27">
        <f t="shared" si="34"/>
        <v>-1.744959838852024E-3</v>
      </c>
      <c r="S233" s="2">
        <v>-3.8244362084828114E-3</v>
      </c>
      <c r="T233" s="27">
        <f t="shared" si="35"/>
        <v>-3.8244362084828114E-3</v>
      </c>
    </row>
    <row r="234" spans="1:20">
      <c r="A234" s="1">
        <v>43019</v>
      </c>
      <c r="B234">
        <v>1.8035070386158997E-3</v>
      </c>
      <c r="C234" s="2">
        <v>-9.3816631130064984E-3</v>
      </c>
      <c r="D234" s="2">
        <v>1.0638908984662888E-2</v>
      </c>
      <c r="E234" s="2">
        <f t="shared" si="27"/>
        <v>2.0020572097669387E-2</v>
      </c>
      <c r="F234" s="2">
        <v>5.3041882251956534E-3</v>
      </c>
      <c r="G234" s="2">
        <f t="shared" si="28"/>
        <v>1.4685851338202152E-2</v>
      </c>
      <c r="H234" s="2">
        <v>-8.827236735804345E-3</v>
      </c>
      <c r="I234" s="2">
        <f t="shared" si="29"/>
        <v>5.5442637720215342E-4</v>
      </c>
      <c r="J234">
        <v>8.5736513918100755E-3</v>
      </c>
      <c r="K234" s="27">
        <f t="shared" si="30"/>
        <v>1.7955314504816574E-2</v>
      </c>
      <c r="L234" s="27">
        <f t="shared" si="31"/>
        <v>1.1185170151622398E-2</v>
      </c>
      <c r="M234" s="2">
        <v>1.3138686131386971E-2</v>
      </c>
      <c r="N234" s="27">
        <f t="shared" si="32"/>
        <v>2.2520349244393469E-2</v>
      </c>
      <c r="O234" s="2">
        <v>4.1694574792874835E-3</v>
      </c>
      <c r="P234" s="27">
        <f t="shared" si="33"/>
        <v>1.3551120592293981E-2</v>
      </c>
      <c r="Q234" s="2">
        <v>1.7927512949154158E-2</v>
      </c>
      <c r="R234" s="27">
        <f t="shared" si="34"/>
        <v>2.7309176062160656E-2</v>
      </c>
      <c r="S234" s="2">
        <v>7.9011222702456627E-3</v>
      </c>
      <c r="T234" s="27">
        <f t="shared" si="35"/>
        <v>1.7282785383252161E-2</v>
      </c>
    </row>
    <row r="235" spans="1:20">
      <c r="A235" s="1">
        <v>43020</v>
      </c>
      <c r="B235">
        <v>-1.6867527186751748E-3</v>
      </c>
      <c r="C235" s="2">
        <v>-1.8510546706844662E-2</v>
      </c>
      <c r="D235" s="2">
        <v>4.7133654057472457E-4</v>
      </c>
      <c r="E235" s="2">
        <f t="shared" si="27"/>
        <v>1.8981883247419385E-2</v>
      </c>
      <c r="F235" s="2">
        <v>-2.6918888391197987E-3</v>
      </c>
      <c r="G235" s="2">
        <f t="shared" si="28"/>
        <v>1.5818657867724864E-2</v>
      </c>
      <c r="H235" s="2">
        <v>-2.7989831391930287E-3</v>
      </c>
      <c r="I235" s="2">
        <f t="shared" si="29"/>
        <v>1.5711563567651632E-2</v>
      </c>
      <c r="J235">
        <v>-2.2524245789980496E-2</v>
      </c>
      <c r="K235" s="27">
        <f t="shared" si="30"/>
        <v>-4.0136990831358341E-3</v>
      </c>
      <c r="L235" s="27">
        <f t="shared" si="31"/>
        <v>1.6823793988169487E-2</v>
      </c>
      <c r="M235" s="2">
        <v>2.3054755043227557E-2</v>
      </c>
      <c r="N235" s="27">
        <f t="shared" si="32"/>
        <v>4.1565301750072219E-2</v>
      </c>
      <c r="O235" s="2">
        <v>-3.5132871309594008E-3</v>
      </c>
      <c r="P235" s="27">
        <f t="shared" si="33"/>
        <v>1.4997259575885262E-2</v>
      </c>
      <c r="Q235" s="2">
        <v>-6.6293492003837509E-3</v>
      </c>
      <c r="R235" s="27">
        <f t="shared" si="34"/>
        <v>1.1881197506460911E-2</v>
      </c>
      <c r="S235" s="2">
        <v>5.9597919597989624E-3</v>
      </c>
      <c r="T235" s="27">
        <f t="shared" si="35"/>
        <v>2.4470338666643623E-2</v>
      </c>
    </row>
    <row r="236" spans="1:20">
      <c r="A236" s="1">
        <v>43021</v>
      </c>
      <c r="B236">
        <v>8.7810722352684139E-4</v>
      </c>
      <c r="C236" s="2">
        <v>1.1842105263157954E-2</v>
      </c>
      <c r="D236" s="2">
        <v>1.8635800757136632E-2</v>
      </c>
      <c r="E236" s="2">
        <f t="shared" si="27"/>
        <v>6.793695493978678E-3</v>
      </c>
      <c r="F236" s="2">
        <v>1.0472793112966731E-2</v>
      </c>
      <c r="G236" s="2">
        <f t="shared" si="28"/>
        <v>-1.3693121501912233E-3</v>
      </c>
      <c r="H236" s="2">
        <v>1.2247940289824713E-2</v>
      </c>
      <c r="I236" s="2">
        <f t="shared" si="29"/>
        <v>4.058350266667593E-4</v>
      </c>
      <c r="J236">
        <v>-1.1521641896203675E-2</v>
      </c>
      <c r="K236" s="27">
        <f t="shared" si="30"/>
        <v>-2.3363747159361629E-2</v>
      </c>
      <c r="L236" s="27">
        <f t="shared" si="31"/>
        <v>-1.0963998039631113E-2</v>
      </c>
      <c r="M236" s="2">
        <v>1.4084507042254472E-3</v>
      </c>
      <c r="N236" s="27">
        <f t="shared" si="32"/>
        <v>-1.0433654558932507E-2</v>
      </c>
      <c r="O236" s="2">
        <v>6.3462257704534168E-3</v>
      </c>
      <c r="P236" s="27">
        <f t="shared" si="33"/>
        <v>-5.4958794927045373E-3</v>
      </c>
      <c r="Q236" s="2">
        <v>-3.1357963508925964E-3</v>
      </c>
      <c r="R236" s="27">
        <f t="shared" si="34"/>
        <v>-1.497790161405055E-2</v>
      </c>
      <c r="S236" s="2">
        <v>2.0081414425155326E-3</v>
      </c>
      <c r="T236" s="27">
        <f t="shared" si="35"/>
        <v>-9.8339638206424215E-3</v>
      </c>
    </row>
    <row r="237" spans="1:20">
      <c r="A237" s="1">
        <v>43024</v>
      </c>
      <c r="B237">
        <v>1.7507534306602202E-3</v>
      </c>
      <c r="C237" s="2">
        <v>-3.901170351105287E-3</v>
      </c>
      <c r="D237" s="2" t="e">
        <v>#VALUE!</v>
      </c>
      <c r="E237" s="2" t="e">
        <f t="shared" si="27"/>
        <v>#VALUE!</v>
      </c>
      <c r="F237" s="2">
        <v>6.8384426158272652E-3</v>
      </c>
      <c r="G237" s="2">
        <f t="shared" si="28"/>
        <v>1.0739612966932552E-2</v>
      </c>
      <c r="H237" s="2">
        <v>2.2687224820408624E-3</v>
      </c>
      <c r="I237" s="2">
        <f t="shared" si="29"/>
        <v>6.169892833146149E-3</v>
      </c>
      <c r="J237">
        <v>6.220235464615957E-3</v>
      </c>
      <c r="K237" s="27">
        <f t="shared" si="30"/>
        <v>1.0121405815721244E-2</v>
      </c>
      <c r="L237" s="27">
        <f t="shared" si="31"/>
        <v>5.651923781765507E-3</v>
      </c>
      <c r="M237" s="2">
        <v>2.8129395218002211E-3</v>
      </c>
      <c r="N237" s="27">
        <f t="shared" si="32"/>
        <v>6.7141098729055076E-3</v>
      </c>
      <c r="O237" s="2">
        <v>1.8408756870020034E-2</v>
      </c>
      <c r="P237" s="27">
        <f t="shared" si="33"/>
        <v>2.230992722112532E-2</v>
      </c>
      <c r="Q237" s="2">
        <v>-5.2024881576971313E-3</v>
      </c>
      <c r="R237" s="27">
        <f t="shared" si="34"/>
        <v>-1.3013178065918443E-3</v>
      </c>
      <c r="S237" s="2">
        <v>3.3900582220469794E-3</v>
      </c>
      <c r="T237" s="27">
        <f t="shared" si="35"/>
        <v>7.2912285731522664E-3</v>
      </c>
    </row>
    <row r="238" spans="1:20">
      <c r="A238" s="1">
        <v>43025</v>
      </c>
      <c r="B238">
        <v>6.7257865530952665E-4</v>
      </c>
      <c r="C238" s="2">
        <v>1.7841601392515199E-2</v>
      </c>
      <c r="D238" s="2" t="e">
        <v>#VALUE!</v>
      </c>
      <c r="E238" s="2" t="e">
        <f t="shared" si="27"/>
        <v>#VALUE!</v>
      </c>
      <c r="F238" s="2">
        <v>4.2436891331413965E-4</v>
      </c>
      <c r="G238" s="2">
        <f t="shared" si="28"/>
        <v>-1.7417232479201059E-2</v>
      </c>
      <c r="H238" s="2">
        <v>7.5462177692157224E-4</v>
      </c>
      <c r="I238" s="2">
        <f t="shared" si="29"/>
        <v>-1.7086979615593627E-2</v>
      </c>
      <c r="J238">
        <v>-2.3613227039577061E-2</v>
      </c>
      <c r="K238" s="27">
        <f t="shared" si="30"/>
        <v>-4.1454828432092264E-2</v>
      </c>
      <c r="L238" s="27">
        <f t="shared" si="31"/>
        <v>-1.7169022737205674E-2</v>
      </c>
      <c r="M238" s="2">
        <v>-7.0126227208975912E-3</v>
      </c>
      <c r="N238" s="27">
        <f t="shared" si="32"/>
        <v>-2.4854224113412791E-2</v>
      </c>
      <c r="O238" s="2">
        <v>3.6902951447703373E-3</v>
      </c>
      <c r="P238" s="27">
        <f t="shared" si="33"/>
        <v>-1.4151306247744862E-2</v>
      </c>
      <c r="Q238" s="2">
        <v>-1.6418709339755231E-2</v>
      </c>
      <c r="R238" s="27">
        <f t="shared" si="34"/>
        <v>-3.4260310732270427E-2</v>
      </c>
      <c r="S238" s="2">
        <v>2.7724009034175278E-3</v>
      </c>
      <c r="T238" s="27">
        <f t="shared" si="35"/>
        <v>-1.5069200489097672E-2</v>
      </c>
    </row>
    <row r="239" spans="1:20">
      <c r="A239" s="1">
        <v>43026</v>
      </c>
      <c r="B239">
        <v>7.423351621382425E-4</v>
      </c>
      <c r="C239" s="2">
        <v>-7.6955964087215877E-3</v>
      </c>
      <c r="D239" s="2" t="e">
        <v>#VALUE!</v>
      </c>
      <c r="E239" s="2" t="e">
        <f t="shared" si="27"/>
        <v>#VALUE!</v>
      </c>
      <c r="F239" s="2">
        <v>-8.9104650329091904E-3</v>
      </c>
      <c r="G239" s="2">
        <f t="shared" si="28"/>
        <v>-1.2148686241876027E-3</v>
      </c>
      <c r="H239" s="2">
        <v>1.1560692764825046E-2</v>
      </c>
      <c r="I239" s="2">
        <f t="shared" si="29"/>
        <v>1.9256289173546635E-2</v>
      </c>
      <c r="J239">
        <v>2.446950620986461E-2</v>
      </c>
      <c r="K239" s="27">
        <f t="shared" si="30"/>
        <v>3.2165102618586197E-2</v>
      </c>
      <c r="L239" s="27">
        <f t="shared" si="31"/>
        <v>8.4379315708598308E-3</v>
      </c>
      <c r="M239" s="2">
        <v>-6.3559322033898205E-3</v>
      </c>
      <c r="N239" s="27">
        <f t="shared" si="32"/>
        <v>1.3396642053317672E-3</v>
      </c>
      <c r="O239" s="2">
        <v>-4.424610536940367E-3</v>
      </c>
      <c r="P239" s="27">
        <f t="shared" si="33"/>
        <v>3.2709858717812207E-3</v>
      </c>
      <c r="Q239" s="2">
        <v>5.6879277406629708E-3</v>
      </c>
      <c r="R239" s="27">
        <f t="shared" si="34"/>
        <v>1.3383524149384558E-2</v>
      </c>
      <c r="S239" s="2">
        <v>-1.2020259966405402E-2</v>
      </c>
      <c r="T239" s="27">
        <f t="shared" si="35"/>
        <v>-4.3246635576838144E-3</v>
      </c>
    </row>
    <row r="240" spans="1:20">
      <c r="A240" s="1">
        <v>43027</v>
      </c>
      <c r="B240">
        <v>3.2799793723399577E-4</v>
      </c>
      <c r="C240" s="2">
        <v>2.5850926324859805E-2</v>
      </c>
      <c r="D240" s="2" t="e">
        <v>#VALUE!</v>
      </c>
      <c r="E240" s="2" t="e">
        <f t="shared" si="27"/>
        <v>#VALUE!</v>
      </c>
      <c r="F240" s="2">
        <v>2.1400130147955466E-4</v>
      </c>
      <c r="G240" s="2">
        <f t="shared" si="28"/>
        <v>-2.5636925023380251E-2</v>
      </c>
      <c r="H240" s="2">
        <v>-3.9751452020021436E-3</v>
      </c>
      <c r="I240" s="2">
        <f t="shared" si="29"/>
        <v>-2.9826071526861949E-2</v>
      </c>
      <c r="J240">
        <v>-9.3536439543809979E-3</v>
      </c>
      <c r="K240" s="27">
        <f t="shared" si="30"/>
        <v>-3.5204570279240802E-2</v>
      </c>
      <c r="L240" s="27">
        <f t="shared" si="31"/>
        <v>-2.552292838762581E-2</v>
      </c>
      <c r="M240" s="2">
        <v>-8.5287846481877042E-3</v>
      </c>
      <c r="N240" s="27">
        <f t="shared" si="32"/>
        <v>-3.4379710973047511E-2</v>
      </c>
      <c r="O240" s="2">
        <v>-2.3660422971421336E-2</v>
      </c>
      <c r="P240" s="27">
        <f t="shared" si="33"/>
        <v>-4.9511349296281142E-2</v>
      </c>
      <c r="Q240" s="2">
        <v>1.1884959016393842E-3</v>
      </c>
      <c r="R240" s="27">
        <f t="shared" si="34"/>
        <v>-2.4662430423220423E-2</v>
      </c>
      <c r="S240" s="2">
        <v>-1.0421278836509477E-2</v>
      </c>
      <c r="T240" s="27">
        <f t="shared" si="35"/>
        <v>-3.6272205161369281E-2</v>
      </c>
    </row>
    <row r="241" spans="1:20">
      <c r="A241" s="1">
        <v>43028</v>
      </c>
      <c r="B241">
        <v>5.1168426285272059E-3</v>
      </c>
      <c r="C241" s="2">
        <v>-2.0999580008399387E-3</v>
      </c>
      <c r="D241" s="2" t="e">
        <v>#VALUE!</v>
      </c>
      <c r="E241" s="2" t="e">
        <f t="shared" si="27"/>
        <v>#VALUE!</v>
      </c>
      <c r="F241" s="2">
        <v>1.851260672050354E-2</v>
      </c>
      <c r="G241" s="2">
        <f t="shared" si="28"/>
        <v>2.0612564721343478E-2</v>
      </c>
      <c r="H241" s="2">
        <v>8.4809183039185696E-3</v>
      </c>
      <c r="I241" s="2">
        <f t="shared" si="29"/>
        <v>1.0580876304758508E-2</v>
      </c>
      <c r="J241">
        <v>-3.4282359579477541E-3</v>
      </c>
      <c r="K241" s="27">
        <f t="shared" si="30"/>
        <v>-1.3282779571078154E-3</v>
      </c>
      <c r="L241" s="27">
        <f t="shared" si="31"/>
        <v>7.2168006293671441E-3</v>
      </c>
      <c r="M241" s="2">
        <v>-1.0035842293906723E-2</v>
      </c>
      <c r="N241" s="27">
        <f t="shared" si="32"/>
        <v>-7.9358842930667851E-3</v>
      </c>
      <c r="O241" s="2">
        <v>1.7309598788530865E-3</v>
      </c>
      <c r="P241" s="27">
        <f t="shared" si="33"/>
        <v>3.8309178796930251E-3</v>
      </c>
      <c r="Q241" s="2">
        <v>-2.0462565570589393E-4</v>
      </c>
      <c r="R241" s="27">
        <f t="shared" si="34"/>
        <v>1.8953323451340446E-3</v>
      </c>
      <c r="S241" s="2">
        <v>-3.7502276038692381E-3</v>
      </c>
      <c r="T241" s="27">
        <f t="shared" si="35"/>
        <v>-1.6502696030292995E-3</v>
      </c>
    </row>
    <row r="242" spans="1:20">
      <c r="A242" s="1">
        <v>43031</v>
      </c>
      <c r="B242">
        <v>-3.9724842459165806E-3</v>
      </c>
      <c r="C242" s="2">
        <v>1.2626262626262732E-2</v>
      </c>
      <c r="D242" s="2" t="e">
        <v>#VALUE!</v>
      </c>
      <c r="E242" s="2" t="e">
        <f t="shared" si="27"/>
        <v>#VALUE!</v>
      </c>
      <c r="F242" s="2">
        <v>1.0821545576756571E-2</v>
      </c>
      <c r="G242" s="2">
        <f t="shared" si="28"/>
        <v>-1.8047170495061604E-3</v>
      </c>
      <c r="H242" s="2">
        <v>9.8936554698769701E-3</v>
      </c>
      <c r="I242" s="2">
        <f t="shared" si="29"/>
        <v>-2.7326071563857617E-3</v>
      </c>
      <c r="J242">
        <v>-2.3629606556467102E-2</v>
      </c>
      <c r="K242" s="27">
        <f t="shared" si="30"/>
        <v>-3.6255869182729834E-2</v>
      </c>
      <c r="L242" s="27">
        <f t="shared" si="31"/>
        <v>-1.6598746872179312E-2</v>
      </c>
      <c r="M242" s="2">
        <v>2.0999275887038316E-2</v>
      </c>
      <c r="N242" s="27">
        <f t="shared" si="32"/>
        <v>8.3730132607755837E-3</v>
      </c>
      <c r="O242" s="2">
        <v>-5.1199076566796104E-4</v>
      </c>
      <c r="P242" s="27">
        <f t="shared" si="33"/>
        <v>-1.3138253391930694E-2</v>
      </c>
      <c r="Q242" s="2">
        <v>1.2282590642758814E-4</v>
      </c>
      <c r="R242" s="27">
        <f t="shared" si="34"/>
        <v>-1.2503436719835144E-2</v>
      </c>
      <c r="S242" s="2">
        <v>-1.6898785703947733E-2</v>
      </c>
      <c r="T242" s="27">
        <f t="shared" si="35"/>
        <v>-2.9525048330210465E-2</v>
      </c>
    </row>
    <row r="243" spans="1:20">
      <c r="A243" s="1">
        <v>43032</v>
      </c>
      <c r="B243">
        <v>1.6179085343192405E-3</v>
      </c>
      <c r="C243" s="2">
        <v>1.5793848711554367E-2</v>
      </c>
      <c r="D243" s="2" t="e">
        <v>#VALUE!</v>
      </c>
      <c r="E243" s="2" t="e">
        <f t="shared" si="27"/>
        <v>#VALUE!</v>
      </c>
      <c r="F243" s="2">
        <v>2.3906935986388422E-3</v>
      </c>
      <c r="G243" s="2">
        <f t="shared" si="28"/>
        <v>-1.3403155112915524E-2</v>
      </c>
      <c r="H243" s="2">
        <v>2.9389401613650226E-3</v>
      </c>
      <c r="I243" s="2">
        <f t="shared" si="29"/>
        <v>-1.2854908550189344E-2</v>
      </c>
      <c r="J243">
        <v>3.2922773842696124E-3</v>
      </c>
      <c r="K243" s="27">
        <f t="shared" si="30"/>
        <v>-1.2501571327284754E-2</v>
      </c>
      <c r="L243" s="27">
        <f t="shared" si="31"/>
        <v>-1.4175940177235126E-2</v>
      </c>
      <c r="M243" s="2">
        <v>1.0638297872340451E-2</v>
      </c>
      <c r="N243" s="27">
        <f t="shared" si="32"/>
        <v>-5.1555508392139154E-3</v>
      </c>
      <c r="O243" s="2">
        <v>5.9551278885918678E-3</v>
      </c>
      <c r="P243" s="27">
        <f t="shared" si="33"/>
        <v>-9.8387208229624989E-3</v>
      </c>
      <c r="Q243" s="2">
        <v>1.3959917076023776E-2</v>
      </c>
      <c r="R243" s="27">
        <f t="shared" si="34"/>
        <v>-1.8339316355305904E-3</v>
      </c>
      <c r="S243" s="2">
        <v>9.9348402351424284E-3</v>
      </c>
      <c r="T243" s="27">
        <f t="shared" si="35"/>
        <v>-5.8590084764119383E-3</v>
      </c>
    </row>
    <row r="244" spans="1:20">
      <c r="A244" s="1">
        <v>43033</v>
      </c>
      <c r="B244">
        <v>-4.6630499607169737E-3</v>
      </c>
      <c r="C244" s="2">
        <v>3.2733224222585957E-3</v>
      </c>
      <c r="D244" s="2" t="e">
        <v>#VALUE!</v>
      </c>
      <c r="E244" s="2" t="e">
        <f t="shared" si="27"/>
        <v>#VALUE!</v>
      </c>
      <c r="F244" s="2">
        <v>-6.4288733424983065E-3</v>
      </c>
      <c r="G244" s="2">
        <f t="shared" si="28"/>
        <v>-9.7021957647569022E-3</v>
      </c>
      <c r="H244" s="2">
        <v>-4.1514168746808909E-3</v>
      </c>
      <c r="I244" s="2">
        <f t="shared" si="29"/>
        <v>-7.4247392969394865E-3</v>
      </c>
      <c r="J244">
        <v>-2.0034519632144841E-2</v>
      </c>
      <c r="K244" s="27">
        <f t="shared" si="30"/>
        <v>-2.3307842054403435E-2</v>
      </c>
      <c r="L244" s="27">
        <f t="shared" si="31"/>
        <v>-7.9363723829755685E-3</v>
      </c>
      <c r="M244" s="2">
        <v>-0.13473684210526315</v>
      </c>
      <c r="N244" s="27">
        <f t="shared" si="32"/>
        <v>-0.13801016452752174</v>
      </c>
      <c r="O244" s="2">
        <v>-4.3921167735655776E-3</v>
      </c>
      <c r="P244" s="27">
        <f t="shared" si="33"/>
        <v>-7.6654391958241733E-3</v>
      </c>
      <c r="Q244" s="2">
        <v>-7.5096336101721072E-3</v>
      </c>
      <c r="R244" s="27">
        <f t="shared" si="34"/>
        <v>-1.0782956032430704E-2</v>
      </c>
      <c r="S244" s="2">
        <v>-3.063890692147369E-3</v>
      </c>
      <c r="T244" s="27">
        <f t="shared" si="35"/>
        <v>-6.3372131144059651E-3</v>
      </c>
    </row>
    <row r="245" spans="1:20">
      <c r="A245" s="1">
        <v>43034</v>
      </c>
      <c r="B245">
        <v>1.2709462192490584E-3</v>
      </c>
      <c r="C245" s="2">
        <v>-9.7879282218597159E-3</v>
      </c>
      <c r="D245" s="2" t="e">
        <v>#VALUE!</v>
      </c>
      <c r="E245" s="2" t="e">
        <f t="shared" si="27"/>
        <v>#VALUE!</v>
      </c>
      <c r="F245" s="2">
        <v>3.4438991438420028E-3</v>
      </c>
      <c r="G245" s="2">
        <f t="shared" si="28"/>
        <v>1.3231827365701719E-2</v>
      </c>
      <c r="H245" s="2">
        <v>1.3977465526245292E-2</v>
      </c>
      <c r="I245" s="2">
        <f t="shared" si="29"/>
        <v>2.3765393748105008E-2</v>
      </c>
      <c r="J245">
        <v>5.8751027736163384E-4</v>
      </c>
      <c r="K245" s="27">
        <f t="shared" si="30"/>
        <v>1.0375438499221349E-2</v>
      </c>
      <c r="L245" s="27">
        <f t="shared" si="31"/>
        <v>1.1058874441108774E-2</v>
      </c>
      <c r="M245" s="2">
        <v>-2.5952960259529624E-2</v>
      </c>
      <c r="N245" s="27">
        <f t="shared" si="32"/>
        <v>-1.6165032037669908E-2</v>
      </c>
      <c r="O245" s="2">
        <v>6.3934271256788581E-3</v>
      </c>
      <c r="P245" s="27">
        <f t="shared" si="33"/>
        <v>1.6181355347538576E-2</v>
      </c>
      <c r="Q245" s="2">
        <v>-8.3801641092622718E-3</v>
      </c>
      <c r="R245" s="27">
        <f t="shared" si="34"/>
        <v>1.4077641125974441E-3</v>
      </c>
      <c r="S245" s="2">
        <v>-4.9334472183488315E-4</v>
      </c>
      <c r="T245" s="27">
        <f t="shared" si="35"/>
        <v>9.2945835000248327E-3</v>
      </c>
    </row>
    <row r="246" spans="1:20">
      <c r="A246" s="1">
        <v>43035</v>
      </c>
      <c r="B246">
        <v>8.0730224930308098E-3</v>
      </c>
      <c r="C246" s="2">
        <v>-2.3887973640856604E-2</v>
      </c>
      <c r="D246" s="2" t="e">
        <v>#VALUE!</v>
      </c>
      <c r="E246" s="2" t="e">
        <f t="shared" si="27"/>
        <v>#VALUE!</v>
      </c>
      <c r="F246" s="2">
        <v>1.4040557981067771E-2</v>
      </c>
      <c r="G246" s="2">
        <f t="shared" si="28"/>
        <v>3.7928531621924375E-2</v>
      </c>
      <c r="H246" s="2">
        <v>7.3760589471283278E-2</v>
      </c>
      <c r="I246" s="2">
        <f t="shared" si="29"/>
        <v>9.7648563112139874E-2</v>
      </c>
      <c r="J246">
        <v>3.4229607564541659E-2</v>
      </c>
      <c r="K246" s="27">
        <f t="shared" si="30"/>
        <v>5.8117581205398262E-2</v>
      </c>
      <c r="L246" s="27">
        <f t="shared" si="31"/>
        <v>3.1960996133887414E-2</v>
      </c>
      <c r="M246" s="2">
        <v>-1.4154870940882592E-2</v>
      </c>
      <c r="N246" s="27">
        <f t="shared" si="32"/>
        <v>9.7331026999740115E-3</v>
      </c>
      <c r="O246" s="2">
        <v>3.5829993951844351E-2</v>
      </c>
      <c r="P246" s="27">
        <f t="shared" si="33"/>
        <v>5.9717967592700955E-2</v>
      </c>
      <c r="Q246" s="2">
        <v>3.7495894270920004E-2</v>
      </c>
      <c r="R246" s="27">
        <f t="shared" si="34"/>
        <v>6.1383867911776607E-2</v>
      </c>
      <c r="S246" s="2">
        <v>0.13216371247816922</v>
      </c>
      <c r="T246" s="27">
        <f t="shared" si="35"/>
        <v>0.15605168611902581</v>
      </c>
    </row>
    <row r="247" spans="1:20">
      <c r="A247" s="1">
        <v>43038</v>
      </c>
      <c r="B247">
        <v>-3.1924704804255763E-3</v>
      </c>
      <c r="C247" s="2">
        <v>2.5316455696201617E-3</v>
      </c>
      <c r="D247" s="2" t="e">
        <v>#VALUE!</v>
      </c>
      <c r="E247" s="2" t="e">
        <f t="shared" si="27"/>
        <v>#VALUE!</v>
      </c>
      <c r="F247" s="2">
        <v>-8.4640692133796189E-3</v>
      </c>
      <c r="G247" s="2">
        <f t="shared" si="28"/>
        <v>-1.099571478299978E-2</v>
      </c>
      <c r="H247" s="2">
        <v>-6.7569239212592383E-4</v>
      </c>
      <c r="I247" s="2">
        <f t="shared" si="29"/>
        <v>-3.2073379617460858E-3</v>
      </c>
      <c r="J247">
        <v>3.0826047033529931E-2</v>
      </c>
      <c r="K247" s="27">
        <f t="shared" si="30"/>
        <v>2.8294401463909769E-2</v>
      </c>
      <c r="L247" s="27">
        <f t="shared" si="31"/>
        <v>-5.724116050045738E-3</v>
      </c>
      <c r="M247" s="2">
        <v>-8.023648648648643E-2</v>
      </c>
      <c r="N247" s="27">
        <f t="shared" si="32"/>
        <v>-8.2768132056106586E-2</v>
      </c>
      <c r="O247" s="2">
        <v>2.2508376801003468E-2</v>
      </c>
      <c r="P247" s="27">
        <f t="shared" si="33"/>
        <v>1.9976731231383306E-2</v>
      </c>
      <c r="Q247" s="2">
        <v>3.2937988128224308E-2</v>
      </c>
      <c r="R247" s="27">
        <f t="shared" si="34"/>
        <v>3.0406342558604145E-2</v>
      </c>
      <c r="S247" s="2">
        <v>8.9922570876247894E-3</v>
      </c>
      <c r="T247" s="27">
        <f t="shared" si="35"/>
        <v>6.4606115180046277E-3</v>
      </c>
    </row>
    <row r="248" spans="1:20">
      <c r="A248" s="1">
        <v>43039</v>
      </c>
      <c r="B248">
        <v>9.4445879686268501E-4</v>
      </c>
      <c r="C248" s="2">
        <v>0</v>
      </c>
      <c r="D248" s="2" t="e">
        <v>#VALUE!</v>
      </c>
      <c r="E248" s="2" t="e">
        <f t="shared" si="27"/>
        <v>#VALUE!</v>
      </c>
      <c r="F248" s="2">
        <v>6.5584427765656818E-3</v>
      </c>
      <c r="G248" s="2">
        <f t="shared" si="28"/>
        <v>6.5584427765656818E-3</v>
      </c>
      <c r="H248" s="2">
        <v>2.5242331405455561E-2</v>
      </c>
      <c r="I248" s="2">
        <f t="shared" si="29"/>
        <v>2.5242331405455561E-2</v>
      </c>
      <c r="J248">
        <v>1.8228863110156708E-2</v>
      </c>
      <c r="K248" s="27">
        <f t="shared" si="30"/>
        <v>1.8228863110156708E-2</v>
      </c>
      <c r="L248" s="27">
        <f t="shared" si="31"/>
        <v>9.4445879686268501E-4</v>
      </c>
      <c r="M248" s="2">
        <v>9.1827364554636949E-3</v>
      </c>
      <c r="N248" s="27">
        <f t="shared" si="32"/>
        <v>9.1827364554636949E-3</v>
      </c>
      <c r="O248" s="2">
        <v>1.3915554988558652E-2</v>
      </c>
      <c r="P248" s="27">
        <f t="shared" si="33"/>
        <v>1.3915554988558652E-2</v>
      </c>
      <c r="Q248" s="2">
        <v>1.02591313675672E-2</v>
      </c>
      <c r="R248" s="27">
        <f t="shared" si="34"/>
        <v>1.02591313675672E-2</v>
      </c>
      <c r="S248" s="2">
        <v>-5.0141307290265062E-3</v>
      </c>
      <c r="T248" s="27">
        <f t="shared" si="35"/>
        <v>-5.0141307290265062E-3</v>
      </c>
    </row>
    <row r="249" spans="1:20">
      <c r="A249" s="1">
        <v>43040</v>
      </c>
      <c r="B249">
        <v>1.5921099166992482E-3</v>
      </c>
      <c r="C249" s="2">
        <v>-1.2205387205387171E-2</v>
      </c>
      <c r="D249" s="2" t="e">
        <v>#VALUE!</v>
      </c>
      <c r="E249" s="2" t="e">
        <f t="shared" si="27"/>
        <v>#VALUE!</v>
      </c>
      <c r="F249" s="2">
        <v>-3.5164338914793641E-3</v>
      </c>
      <c r="G249" s="2">
        <f t="shared" si="28"/>
        <v>8.688953313907807E-3</v>
      </c>
      <c r="H249" s="2">
        <v>2.6819021393300304E-2</v>
      </c>
      <c r="I249" s="2">
        <f t="shared" si="29"/>
        <v>3.9024408598687471E-2</v>
      </c>
      <c r="J249">
        <v>6.4362756581550886E-3</v>
      </c>
      <c r="K249" s="27">
        <f t="shared" si="30"/>
        <v>1.8641662863542258E-2</v>
      </c>
      <c r="L249" s="27">
        <f t="shared" si="31"/>
        <v>1.379749712208642E-2</v>
      </c>
      <c r="M249" s="2">
        <v>-1.7288444040036353E-2</v>
      </c>
      <c r="N249" s="27">
        <f t="shared" si="32"/>
        <v>-5.0830568346491821E-3</v>
      </c>
      <c r="O249" s="2">
        <v>-1.2718819934828835E-2</v>
      </c>
      <c r="P249" s="27">
        <f t="shared" si="33"/>
        <v>-5.1343272944166449E-4</v>
      </c>
      <c r="Q249" s="2">
        <v>-1.7505948732432351E-2</v>
      </c>
      <c r="R249" s="27">
        <f t="shared" si="34"/>
        <v>-5.3005615270451806E-3</v>
      </c>
      <c r="S249" s="2">
        <v>-1.4475743323143729E-3</v>
      </c>
      <c r="T249" s="27">
        <f t="shared" si="35"/>
        <v>1.0757812873072798E-2</v>
      </c>
    </row>
    <row r="250" spans="1:20">
      <c r="A250" s="1">
        <v>43041</v>
      </c>
      <c r="B250">
        <v>1.8996610774515562E-4</v>
      </c>
      <c r="C250" s="2">
        <v>-1.7043033659991493E-3</v>
      </c>
      <c r="D250" s="2" t="e">
        <v>#VALUE!</v>
      </c>
      <c r="E250" s="2" t="e">
        <f t="shared" si="27"/>
        <v>#VALUE!</v>
      </c>
      <c r="F250" s="2">
        <v>4.5667151959879063E-3</v>
      </c>
      <c r="G250" s="2">
        <f t="shared" si="28"/>
        <v>6.2710185619870556E-3</v>
      </c>
      <c r="H250" s="2">
        <v>8.3494028123465864E-3</v>
      </c>
      <c r="I250" s="2">
        <f t="shared" si="29"/>
        <v>1.0053706178345737E-2</v>
      </c>
      <c r="J250">
        <v>-6.8250429189053857E-3</v>
      </c>
      <c r="K250" s="27">
        <f t="shared" si="30"/>
        <v>-5.1207395529062364E-3</v>
      </c>
      <c r="L250" s="27">
        <f t="shared" si="31"/>
        <v>1.8942694737443049E-3</v>
      </c>
      <c r="M250" s="2">
        <v>4.6296296296295305E-3</v>
      </c>
      <c r="N250" s="27">
        <f t="shared" si="32"/>
        <v>6.3339329956286798E-3</v>
      </c>
      <c r="O250" s="2">
        <v>7.310156195775022E-3</v>
      </c>
      <c r="P250" s="27">
        <f t="shared" si="33"/>
        <v>9.0144595617741713E-3</v>
      </c>
      <c r="Q250" s="2">
        <v>8.0986923024867598E-4</v>
      </c>
      <c r="R250" s="27">
        <f t="shared" si="34"/>
        <v>2.5141725962478253E-3</v>
      </c>
      <c r="S250" s="2">
        <v>-8.5713998053279505E-3</v>
      </c>
      <c r="T250" s="27">
        <f t="shared" si="35"/>
        <v>-6.8670964393288013E-3</v>
      </c>
    </row>
    <row r="251" spans="1:20">
      <c r="A251" s="1">
        <v>43042</v>
      </c>
      <c r="B251">
        <v>3.0970752937134545E-3</v>
      </c>
      <c r="C251" s="2">
        <v>3.0000000000000001E-3</v>
      </c>
      <c r="D251" s="2" t="e">
        <v>#VALUE!</v>
      </c>
      <c r="E251" s="2" t="e">
        <f t="shared" si="27"/>
        <v>#VALUE!</v>
      </c>
      <c r="F251" s="2">
        <v>1.2294679075372596E-2</v>
      </c>
      <c r="G251" s="2">
        <f t="shared" si="28"/>
        <v>9.2946790753725972E-3</v>
      </c>
      <c r="H251" s="2">
        <v>-1.6135888966764596E-2</v>
      </c>
      <c r="I251" s="2">
        <f t="shared" si="29"/>
        <v>-1.9135888966764596E-2</v>
      </c>
      <c r="J251">
        <v>-8.6574915714247077E-3</v>
      </c>
      <c r="K251" s="27">
        <f t="shared" si="30"/>
        <v>-1.1657491571424709E-2</v>
      </c>
      <c r="L251" s="27">
        <f t="shared" si="31"/>
        <v>9.7075293713454452E-5</v>
      </c>
      <c r="M251" s="2">
        <v>2.4884792626728072E-2</v>
      </c>
      <c r="N251" s="27">
        <f t="shared" si="32"/>
        <v>2.1884792626728072E-2</v>
      </c>
      <c r="O251" s="2">
        <v>2.611390197239033E-2</v>
      </c>
      <c r="P251" s="27">
        <f t="shared" si="33"/>
        <v>2.3113901972390331E-2</v>
      </c>
      <c r="Q251" s="2">
        <v>5.4450886319845793E-2</v>
      </c>
      <c r="R251" s="27">
        <f t="shared" si="34"/>
        <v>5.145088631984579E-2</v>
      </c>
      <c r="S251" s="2">
        <v>1.5883465354883369E-2</v>
      </c>
      <c r="T251" s="27">
        <f t="shared" si="35"/>
        <v>1.2883465354883369E-2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Financial Data</vt:lpstr>
      <vt:lpstr>NVDA</vt:lpstr>
      <vt:lpstr>TXN</vt:lpstr>
      <vt:lpstr>INTC</vt:lpstr>
      <vt:lpstr>BABA</vt:lpstr>
      <vt:lpstr>AMD</vt:lpstr>
      <vt:lpstr>AAPL</vt:lpstr>
      <vt:lpstr>AVGO</vt:lpstr>
      <vt:lpstr>Sheet6</vt:lpstr>
      <vt:lpstr>Data Sheet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Chew</dc:creator>
  <cp:lastModifiedBy>AZ-Gamer</cp:lastModifiedBy>
  <dcterms:created xsi:type="dcterms:W3CDTF">2011-05-29T20:49:38Z</dcterms:created>
  <dcterms:modified xsi:type="dcterms:W3CDTF">2017-11-19T16:21:54Z</dcterms:modified>
</cp:coreProperties>
</file>